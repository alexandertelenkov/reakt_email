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Users\Администратор\Desktop\"/>
    </mc:Choice>
  </mc:AlternateContent>
  <xr:revisionPtr revIDLastSave="0" documentId="8_{C5384321-F62E-4215-800B-84C807243A9F}" xr6:coauthVersionLast="47" xr6:coauthVersionMax="47" xr10:uidLastSave="{00000000-0000-0000-0000-000000000000}"/>
  <bookViews>
    <workbookView xWindow="-120" yWindow="-120" windowWidth="29040" windowHeight="15840" xr2:uid="{16CB8ECD-AA64-49A8-8515-65AA188428D6}"/>
  </bookViews>
  <sheets>
    <sheet name="Bookings" sheetId="1" r:id="rId1"/>
    <sheet name="databas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0" i="1" l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210" i="1"/>
  <c r="P209" i="1"/>
  <c r="N209" i="1"/>
  <c r="O209" i="1" s="1"/>
  <c r="P208" i="1"/>
  <c r="N208" i="1"/>
  <c r="O208" i="1" s="1"/>
  <c r="P207" i="1"/>
  <c r="N207" i="1"/>
  <c r="O207" i="1" s="1"/>
  <c r="P206" i="1"/>
  <c r="O206" i="1"/>
  <c r="N206" i="1"/>
  <c r="P205" i="1"/>
  <c r="N205" i="1"/>
  <c r="O205" i="1" s="1"/>
  <c r="P204" i="1"/>
  <c r="N204" i="1"/>
  <c r="O204" i="1" s="1"/>
  <c r="P203" i="1"/>
  <c r="N203" i="1"/>
  <c r="O203" i="1" s="1"/>
  <c r="P202" i="1"/>
  <c r="O202" i="1"/>
  <c r="N202" i="1"/>
  <c r="P201" i="1"/>
  <c r="N201" i="1"/>
  <c r="O201" i="1" s="1"/>
  <c r="P200" i="1"/>
  <c r="N200" i="1"/>
  <c r="O200" i="1" s="1"/>
  <c r="P199" i="1"/>
  <c r="N199" i="1"/>
  <c r="O199" i="1" s="1"/>
  <c r="P198" i="1"/>
  <c r="O198" i="1"/>
  <c r="N198" i="1"/>
  <c r="P197" i="1"/>
  <c r="N197" i="1"/>
  <c r="O197" i="1" s="1"/>
  <c r="P195" i="1"/>
  <c r="N195" i="1"/>
  <c r="O195" i="1" s="1"/>
  <c r="P194" i="1"/>
  <c r="N194" i="1"/>
  <c r="O194" i="1" s="1"/>
  <c r="P193" i="1"/>
  <c r="O193" i="1"/>
  <c r="N193" i="1"/>
  <c r="P192" i="1"/>
  <c r="N192" i="1"/>
  <c r="O192" i="1" s="1"/>
  <c r="P191" i="1"/>
  <c r="N191" i="1"/>
  <c r="O191" i="1" s="1"/>
  <c r="P189" i="1"/>
  <c r="N189" i="1"/>
  <c r="O189" i="1" s="1"/>
  <c r="P188" i="1"/>
  <c r="O188" i="1"/>
  <c r="N188" i="1"/>
  <c r="P187" i="1"/>
  <c r="N187" i="1"/>
  <c r="O187" i="1" s="1"/>
  <c r="P186" i="1"/>
  <c r="N186" i="1"/>
  <c r="O186" i="1" s="1"/>
  <c r="P185" i="1"/>
  <c r="N185" i="1"/>
  <c r="O185" i="1" s="1"/>
  <c r="P184" i="1"/>
  <c r="O184" i="1"/>
  <c r="N184" i="1"/>
  <c r="P183" i="1"/>
  <c r="N183" i="1"/>
  <c r="O183" i="1" s="1"/>
  <c r="P182" i="1"/>
  <c r="N182" i="1"/>
  <c r="O182" i="1" s="1"/>
  <c r="P181" i="1"/>
  <c r="N181" i="1"/>
  <c r="O181" i="1" s="1"/>
  <c r="P180" i="1"/>
  <c r="O180" i="1"/>
  <c r="N180" i="1"/>
  <c r="P179" i="1"/>
  <c r="N179" i="1"/>
  <c r="O179" i="1" s="1"/>
  <c r="P178" i="1"/>
  <c r="N178" i="1"/>
  <c r="O178" i="1" s="1"/>
  <c r="P177" i="1"/>
  <c r="N177" i="1"/>
  <c r="O177" i="1" s="1"/>
  <c r="P176" i="1"/>
  <c r="O176" i="1"/>
  <c r="N176" i="1"/>
  <c r="P175" i="1"/>
  <c r="N175" i="1"/>
  <c r="O175" i="1" s="1"/>
  <c r="P174" i="1"/>
  <c r="N174" i="1"/>
  <c r="O174" i="1" s="1"/>
  <c r="P173" i="1"/>
  <c r="N173" i="1"/>
  <c r="O173" i="1" s="1"/>
  <c r="P172" i="1"/>
  <c r="O172" i="1"/>
  <c r="N172" i="1"/>
  <c r="P171" i="1"/>
  <c r="N171" i="1"/>
  <c r="O171" i="1" s="1"/>
  <c r="P170" i="1"/>
  <c r="N170" i="1"/>
  <c r="O170" i="1" s="1"/>
  <c r="P169" i="1"/>
  <c r="N169" i="1"/>
  <c r="O169" i="1" s="1"/>
  <c r="P168" i="1"/>
  <c r="O168" i="1"/>
  <c r="N168" i="1"/>
  <c r="P167" i="1"/>
  <c r="N167" i="1"/>
  <c r="O167" i="1" s="1"/>
  <c r="P166" i="1"/>
  <c r="N166" i="1"/>
  <c r="O166" i="1" s="1"/>
  <c r="P165" i="1"/>
  <c r="N165" i="1"/>
  <c r="O165" i="1" s="1"/>
  <c r="P164" i="1"/>
  <c r="O164" i="1"/>
  <c r="N164" i="1"/>
  <c r="P163" i="1"/>
  <c r="N163" i="1"/>
  <c r="O163" i="1" s="1"/>
  <c r="P162" i="1"/>
  <c r="N162" i="1"/>
  <c r="O162" i="1" s="1"/>
  <c r="P161" i="1"/>
  <c r="N161" i="1"/>
  <c r="O161" i="1" s="1"/>
  <c r="P160" i="1"/>
  <c r="O160" i="1"/>
  <c r="N160" i="1"/>
  <c r="P159" i="1"/>
  <c r="N159" i="1"/>
  <c r="O159" i="1" s="1"/>
  <c r="P158" i="1"/>
  <c r="N158" i="1"/>
  <c r="O158" i="1" s="1"/>
  <c r="P157" i="1"/>
  <c r="N157" i="1"/>
  <c r="O157" i="1" s="1"/>
  <c r="P156" i="1"/>
  <c r="O156" i="1"/>
  <c r="N156" i="1"/>
  <c r="P155" i="1"/>
  <c r="N155" i="1"/>
  <c r="O155" i="1" s="1"/>
  <c r="P154" i="1"/>
  <c r="N154" i="1"/>
  <c r="O154" i="1" s="1"/>
  <c r="P153" i="1"/>
  <c r="N153" i="1"/>
  <c r="O153" i="1" s="1"/>
  <c r="A153" i="1"/>
  <c r="P152" i="1"/>
  <c r="N152" i="1"/>
  <c r="O152" i="1" s="1"/>
  <c r="P151" i="1"/>
  <c r="O151" i="1"/>
  <c r="N151" i="1"/>
  <c r="P150" i="1"/>
  <c r="O150" i="1"/>
  <c r="N150" i="1"/>
  <c r="A150" i="1"/>
  <c r="P149" i="1"/>
  <c r="N149" i="1"/>
  <c r="O149" i="1" s="1"/>
  <c r="A149" i="1"/>
  <c r="P148" i="1"/>
  <c r="N148" i="1"/>
  <c r="O148" i="1" s="1"/>
  <c r="P147" i="1"/>
  <c r="N147" i="1"/>
  <c r="O147" i="1" s="1"/>
  <c r="P146" i="1"/>
  <c r="N146" i="1"/>
  <c r="O146" i="1" s="1"/>
  <c r="P145" i="1"/>
  <c r="O145" i="1"/>
  <c r="N145" i="1"/>
  <c r="A145" i="1"/>
  <c r="P144" i="1"/>
  <c r="O144" i="1"/>
  <c r="N144" i="1"/>
  <c r="A144" i="1"/>
  <c r="P143" i="1"/>
  <c r="N143" i="1"/>
  <c r="O143" i="1" s="1"/>
  <c r="A143" i="1"/>
  <c r="P142" i="1"/>
  <c r="O142" i="1"/>
  <c r="N142" i="1"/>
  <c r="A142" i="1"/>
  <c r="P141" i="1"/>
  <c r="O141" i="1"/>
  <c r="N141" i="1"/>
  <c r="A141" i="1"/>
  <c r="P140" i="1"/>
  <c r="N140" i="1"/>
  <c r="O140" i="1" s="1"/>
  <c r="A140" i="1"/>
  <c r="P139" i="1"/>
  <c r="O139" i="1"/>
  <c r="N139" i="1"/>
  <c r="A139" i="1"/>
  <c r="P138" i="1"/>
  <c r="O138" i="1"/>
  <c r="N138" i="1"/>
  <c r="P137" i="1"/>
  <c r="O137" i="1"/>
  <c r="N137" i="1"/>
  <c r="A137" i="1"/>
  <c r="P136" i="1"/>
  <c r="N136" i="1"/>
  <c r="O136" i="1" s="1"/>
  <c r="A136" i="1"/>
  <c r="P135" i="1"/>
  <c r="N135" i="1"/>
  <c r="O135" i="1" s="1"/>
  <c r="A135" i="1"/>
  <c r="P134" i="1"/>
  <c r="O134" i="1"/>
  <c r="N134" i="1"/>
  <c r="A134" i="1"/>
  <c r="P133" i="1"/>
  <c r="N133" i="1"/>
  <c r="O133" i="1" s="1"/>
  <c r="A133" i="1"/>
  <c r="P132" i="1"/>
  <c r="N132" i="1"/>
  <c r="O132" i="1" s="1"/>
  <c r="A132" i="1"/>
  <c r="P131" i="1"/>
  <c r="O131" i="1"/>
  <c r="N131" i="1"/>
  <c r="A131" i="1"/>
  <c r="P130" i="1"/>
  <c r="N130" i="1"/>
  <c r="O130" i="1" s="1"/>
  <c r="P129" i="1"/>
  <c r="O129" i="1"/>
  <c r="N129" i="1"/>
  <c r="A129" i="1"/>
  <c r="P128" i="1"/>
  <c r="N128" i="1"/>
  <c r="O128" i="1" s="1"/>
  <c r="A128" i="1"/>
  <c r="P127" i="1"/>
  <c r="O127" i="1"/>
  <c r="N127" i="1"/>
  <c r="A127" i="1"/>
  <c r="P126" i="1"/>
  <c r="O126" i="1"/>
  <c r="N126" i="1"/>
  <c r="A126" i="1"/>
  <c r="P125" i="1"/>
  <c r="N125" i="1"/>
  <c r="O125" i="1" s="1"/>
  <c r="A125" i="1"/>
  <c r="P124" i="1"/>
  <c r="O124" i="1"/>
  <c r="N124" i="1"/>
  <c r="A124" i="1"/>
  <c r="P123" i="1"/>
  <c r="O123" i="1"/>
  <c r="N123" i="1"/>
  <c r="P122" i="1"/>
  <c r="N122" i="1"/>
  <c r="O122" i="1" s="1"/>
  <c r="A122" i="1"/>
  <c r="P121" i="1"/>
  <c r="N121" i="1"/>
  <c r="O121" i="1" s="1"/>
  <c r="P120" i="1"/>
  <c r="O120" i="1"/>
  <c r="N120" i="1"/>
  <c r="P119" i="1"/>
  <c r="N119" i="1"/>
  <c r="O119" i="1" s="1"/>
  <c r="P118" i="1"/>
  <c r="N118" i="1"/>
  <c r="O118" i="1" s="1"/>
  <c r="A118" i="1"/>
  <c r="P117" i="1"/>
  <c r="O117" i="1"/>
  <c r="N117" i="1"/>
  <c r="A117" i="1"/>
  <c r="P116" i="1"/>
  <c r="O116" i="1"/>
  <c r="N116" i="1"/>
  <c r="P115" i="1"/>
  <c r="N115" i="1"/>
  <c r="O115" i="1" s="1"/>
  <c r="P114" i="1"/>
  <c r="N114" i="1"/>
  <c r="O114" i="1" s="1"/>
  <c r="P113" i="1"/>
  <c r="N113" i="1"/>
  <c r="O113" i="1" s="1"/>
  <c r="A113" i="1"/>
  <c r="P112" i="1"/>
  <c r="N112" i="1"/>
  <c r="O112" i="1" s="1"/>
  <c r="P111" i="1"/>
  <c r="N111" i="1"/>
  <c r="O111" i="1" s="1"/>
  <c r="P110" i="1"/>
  <c r="N110" i="1"/>
  <c r="O110" i="1" s="1"/>
  <c r="P109" i="1"/>
  <c r="O109" i="1"/>
  <c r="N109" i="1"/>
  <c r="P108" i="1"/>
  <c r="N108" i="1"/>
  <c r="O108" i="1" s="1"/>
  <c r="P107" i="1"/>
  <c r="N107" i="1"/>
  <c r="O107" i="1" s="1"/>
  <c r="P106" i="1"/>
  <c r="N106" i="1"/>
  <c r="O106" i="1" s="1"/>
  <c r="P105" i="1"/>
  <c r="O105" i="1"/>
  <c r="N105" i="1"/>
  <c r="A105" i="1"/>
  <c r="P104" i="1"/>
  <c r="O104" i="1"/>
  <c r="N104" i="1"/>
  <c r="A104" i="1"/>
  <c r="P103" i="1"/>
  <c r="N103" i="1"/>
  <c r="O103" i="1" s="1"/>
  <c r="P102" i="1"/>
  <c r="N102" i="1"/>
  <c r="O102" i="1" s="1"/>
  <c r="A102" i="1"/>
  <c r="P101" i="1"/>
  <c r="N101" i="1"/>
  <c r="O101" i="1" s="1"/>
  <c r="P100" i="1"/>
  <c r="N100" i="1"/>
  <c r="O100" i="1" s="1"/>
  <c r="A100" i="1"/>
  <c r="P99" i="1"/>
  <c r="O99" i="1"/>
  <c r="N99" i="1"/>
  <c r="A99" i="1"/>
  <c r="P98" i="1"/>
  <c r="O98" i="1"/>
  <c r="N98" i="1"/>
  <c r="A98" i="1"/>
  <c r="P97" i="1"/>
  <c r="N97" i="1"/>
  <c r="O97" i="1" s="1"/>
  <c r="P96" i="1"/>
  <c r="N96" i="1"/>
  <c r="O96" i="1" s="1"/>
  <c r="P95" i="1"/>
  <c r="O95" i="1"/>
  <c r="N95" i="1"/>
  <c r="A95" i="1"/>
  <c r="P94" i="1"/>
  <c r="O94" i="1"/>
  <c r="N94" i="1"/>
  <c r="A94" i="1"/>
  <c r="P93" i="1"/>
  <c r="N93" i="1"/>
  <c r="O93" i="1" s="1"/>
  <c r="A93" i="1"/>
  <c r="P92" i="1"/>
  <c r="O92" i="1"/>
  <c r="N92" i="1"/>
  <c r="A92" i="1"/>
  <c r="P91" i="1"/>
  <c r="O91" i="1"/>
  <c r="N91" i="1"/>
  <c r="A91" i="1"/>
  <c r="P90" i="1"/>
  <c r="N90" i="1"/>
  <c r="O90" i="1" s="1"/>
  <c r="A90" i="1"/>
  <c r="P89" i="1"/>
  <c r="O89" i="1"/>
  <c r="N89" i="1"/>
  <c r="A89" i="1"/>
  <c r="P88" i="1"/>
  <c r="O88" i="1"/>
  <c r="N88" i="1"/>
  <c r="A88" i="1"/>
  <c r="P87" i="1"/>
  <c r="N87" i="1"/>
  <c r="O87" i="1" s="1"/>
  <c r="A87" i="1"/>
  <c r="P86" i="1"/>
  <c r="O86" i="1"/>
  <c r="N86" i="1"/>
  <c r="A86" i="1"/>
  <c r="P85" i="1"/>
  <c r="O85" i="1"/>
  <c r="N85" i="1"/>
  <c r="A85" i="1"/>
  <c r="P84" i="1"/>
  <c r="N84" i="1"/>
  <c r="O84" i="1" s="1"/>
  <c r="A84" i="1"/>
  <c r="P83" i="1"/>
  <c r="O83" i="1"/>
  <c r="N83" i="1"/>
  <c r="A83" i="1"/>
  <c r="P82" i="1"/>
  <c r="O82" i="1"/>
  <c r="N82" i="1"/>
  <c r="A82" i="1"/>
  <c r="P81" i="1"/>
  <c r="N81" i="1"/>
  <c r="O81" i="1" s="1"/>
  <c r="A81" i="1"/>
  <c r="P80" i="1"/>
  <c r="O80" i="1"/>
  <c r="N80" i="1"/>
  <c r="A80" i="1"/>
  <c r="P79" i="1"/>
  <c r="O79" i="1"/>
  <c r="N79" i="1"/>
  <c r="A79" i="1"/>
  <c r="P78" i="1"/>
  <c r="N78" i="1"/>
  <c r="O78" i="1" s="1"/>
  <c r="A78" i="1"/>
  <c r="P77" i="1"/>
  <c r="O77" i="1"/>
  <c r="N77" i="1"/>
  <c r="A77" i="1"/>
  <c r="P76" i="1"/>
  <c r="O76" i="1"/>
  <c r="N76" i="1"/>
  <c r="A76" i="1"/>
  <c r="P75" i="1"/>
  <c r="N75" i="1"/>
  <c r="O75" i="1" s="1"/>
  <c r="A75" i="1"/>
  <c r="P74" i="1"/>
  <c r="O74" i="1"/>
  <c r="N74" i="1"/>
  <c r="A74" i="1"/>
  <c r="P73" i="1"/>
  <c r="O73" i="1"/>
  <c r="N73" i="1"/>
  <c r="A73" i="1"/>
  <c r="P72" i="1"/>
  <c r="N72" i="1"/>
  <c r="O72" i="1" s="1"/>
  <c r="A72" i="1"/>
  <c r="P71" i="1"/>
  <c r="O71" i="1"/>
  <c r="N71" i="1"/>
  <c r="A71" i="1"/>
  <c r="P70" i="1"/>
  <c r="O70" i="1"/>
  <c r="N70" i="1"/>
  <c r="A70" i="1"/>
  <c r="P69" i="1"/>
  <c r="N69" i="1"/>
  <c r="O69" i="1" s="1"/>
  <c r="A69" i="1"/>
  <c r="P68" i="1"/>
  <c r="O68" i="1"/>
  <c r="N68" i="1"/>
  <c r="A68" i="1"/>
  <c r="P67" i="1"/>
  <c r="O67" i="1"/>
  <c r="N67" i="1"/>
  <c r="A67" i="1"/>
  <c r="P66" i="1"/>
  <c r="N66" i="1"/>
  <c r="O66" i="1" s="1"/>
  <c r="A66" i="1"/>
  <c r="P65" i="1"/>
  <c r="O65" i="1"/>
  <c r="N65" i="1"/>
  <c r="A65" i="1"/>
  <c r="P64" i="1"/>
  <c r="O64" i="1"/>
  <c r="N64" i="1"/>
  <c r="A64" i="1"/>
  <c r="P63" i="1"/>
  <c r="N63" i="1"/>
  <c r="O63" i="1" s="1"/>
  <c r="A63" i="1"/>
  <c r="P62" i="1"/>
  <c r="O62" i="1"/>
  <c r="N62" i="1"/>
  <c r="A62" i="1"/>
  <c r="P61" i="1"/>
  <c r="O61" i="1"/>
  <c r="N61" i="1"/>
  <c r="A61" i="1"/>
  <c r="P60" i="1"/>
  <c r="N60" i="1"/>
  <c r="O60" i="1" s="1"/>
  <c r="A60" i="1"/>
  <c r="P59" i="1"/>
  <c r="O59" i="1"/>
  <c r="N59" i="1"/>
  <c r="A59" i="1"/>
  <c r="P58" i="1"/>
  <c r="O58" i="1"/>
  <c r="N58" i="1"/>
  <c r="A58" i="1"/>
  <c r="P57" i="1"/>
  <c r="N57" i="1"/>
  <c r="O57" i="1" s="1"/>
  <c r="A57" i="1"/>
  <c r="P56" i="1"/>
  <c r="O56" i="1"/>
  <c r="N56" i="1"/>
  <c r="A56" i="1"/>
  <c r="P55" i="1"/>
  <c r="O55" i="1"/>
  <c r="N55" i="1"/>
  <c r="A55" i="1"/>
  <c r="P54" i="1"/>
  <c r="N54" i="1"/>
  <c r="O54" i="1" s="1"/>
  <c r="A54" i="1"/>
  <c r="P53" i="1"/>
  <c r="O53" i="1"/>
  <c r="N53" i="1"/>
  <c r="A53" i="1"/>
  <c r="P52" i="1"/>
  <c r="O52" i="1"/>
  <c r="N52" i="1"/>
  <c r="A52" i="1"/>
  <c r="P51" i="1"/>
  <c r="N51" i="1"/>
  <c r="O51" i="1" s="1"/>
  <c r="A51" i="1"/>
  <c r="P50" i="1"/>
  <c r="O50" i="1"/>
  <c r="N50" i="1"/>
  <c r="A50" i="1"/>
  <c r="P49" i="1"/>
  <c r="O49" i="1"/>
  <c r="N49" i="1"/>
  <c r="A49" i="1"/>
  <c r="P48" i="1"/>
  <c r="N48" i="1"/>
  <c r="O48" i="1" s="1"/>
  <c r="A48" i="1"/>
  <c r="P47" i="1"/>
  <c r="O47" i="1"/>
  <c r="N47" i="1"/>
  <c r="A47" i="1"/>
  <c r="P46" i="1"/>
  <c r="O46" i="1"/>
  <c r="N46" i="1"/>
  <c r="A46" i="1"/>
  <c r="P45" i="1"/>
  <c r="N45" i="1"/>
  <c r="O45" i="1" s="1"/>
  <c r="A45" i="1"/>
  <c r="P44" i="1"/>
  <c r="O44" i="1"/>
  <c r="N44" i="1"/>
  <c r="A44" i="1"/>
  <c r="P43" i="1"/>
  <c r="O43" i="1"/>
  <c r="N43" i="1"/>
  <c r="A43" i="1"/>
  <c r="P42" i="1"/>
  <c r="N42" i="1"/>
  <c r="O42" i="1" s="1"/>
  <c r="A42" i="1"/>
  <c r="P41" i="1"/>
  <c r="O41" i="1"/>
  <c r="N41" i="1"/>
  <c r="A41" i="1"/>
  <c r="P40" i="1"/>
  <c r="O40" i="1"/>
  <c r="N40" i="1"/>
  <c r="A40" i="1"/>
  <c r="P39" i="1"/>
  <c r="N39" i="1"/>
  <c r="O39" i="1" s="1"/>
  <c r="A39" i="1"/>
  <c r="P38" i="1"/>
  <c r="O38" i="1"/>
  <c r="N38" i="1"/>
  <c r="A38" i="1"/>
  <c r="P37" i="1"/>
  <c r="O37" i="1"/>
  <c r="N37" i="1"/>
  <c r="A37" i="1"/>
  <c r="P36" i="1"/>
  <c r="N36" i="1"/>
  <c r="O36" i="1" s="1"/>
  <c r="A36" i="1"/>
  <c r="P35" i="1"/>
  <c r="O35" i="1"/>
  <c r="N35" i="1"/>
  <c r="P34" i="1"/>
  <c r="N34" i="1"/>
  <c r="O34" i="1" s="1"/>
  <c r="A34" i="1"/>
  <c r="P33" i="1"/>
  <c r="O33" i="1"/>
  <c r="N33" i="1"/>
  <c r="A33" i="1"/>
  <c r="P32" i="1"/>
  <c r="N32" i="1"/>
  <c r="O32" i="1" s="1"/>
  <c r="A32" i="1"/>
  <c r="P31" i="1"/>
  <c r="N31" i="1"/>
  <c r="O31" i="1" s="1"/>
  <c r="A31" i="1"/>
  <c r="P30" i="1"/>
  <c r="O30" i="1"/>
  <c r="N30" i="1"/>
  <c r="A30" i="1"/>
  <c r="P29" i="1"/>
  <c r="N29" i="1"/>
  <c r="O29" i="1" s="1"/>
  <c r="A29" i="1"/>
  <c r="P28" i="1"/>
  <c r="N28" i="1"/>
  <c r="O28" i="1" s="1"/>
  <c r="A28" i="1"/>
  <c r="P27" i="1"/>
  <c r="O27" i="1"/>
  <c r="N27" i="1"/>
  <c r="A27" i="1"/>
  <c r="P26" i="1"/>
  <c r="N26" i="1"/>
  <c r="O26" i="1" s="1"/>
  <c r="A26" i="1"/>
  <c r="P25" i="1"/>
  <c r="N25" i="1"/>
  <c r="O25" i="1" s="1"/>
  <c r="A25" i="1"/>
  <c r="P24" i="1"/>
  <c r="O24" i="1"/>
  <c r="N24" i="1"/>
  <c r="A24" i="1"/>
  <c r="P23" i="1"/>
  <c r="N23" i="1"/>
  <c r="O23" i="1" s="1"/>
  <c r="A23" i="1"/>
  <c r="P22" i="1"/>
  <c r="N22" i="1"/>
  <c r="O22" i="1" s="1"/>
  <c r="A22" i="1"/>
  <c r="P21" i="1"/>
  <c r="O21" i="1"/>
  <c r="N21" i="1"/>
  <c r="A21" i="1"/>
  <c r="P20" i="1"/>
  <c r="N20" i="1"/>
  <c r="O20" i="1" s="1"/>
  <c r="A20" i="1"/>
  <c r="P19" i="1"/>
  <c r="N19" i="1"/>
  <c r="O19" i="1" s="1"/>
  <c r="A19" i="1"/>
  <c r="P18" i="1"/>
  <c r="O18" i="1"/>
  <c r="N18" i="1"/>
  <c r="A18" i="1"/>
  <c r="P17" i="1"/>
  <c r="N17" i="1"/>
  <c r="O17" i="1" s="1"/>
  <c r="A17" i="1"/>
  <c r="P16" i="1"/>
  <c r="N16" i="1"/>
  <c r="O16" i="1" s="1"/>
  <c r="A16" i="1"/>
  <c r="P15" i="1"/>
  <c r="O15" i="1"/>
  <c r="N15" i="1"/>
  <c r="A15" i="1"/>
  <c r="P14" i="1"/>
  <c r="N14" i="1"/>
  <c r="O14" i="1" s="1"/>
  <c r="A14" i="1"/>
  <c r="P13" i="1"/>
  <c r="N13" i="1"/>
  <c r="O13" i="1" s="1"/>
  <c r="A13" i="1"/>
  <c r="P12" i="1"/>
  <c r="O12" i="1"/>
  <c r="N12" i="1"/>
  <c r="A12" i="1"/>
  <c r="P11" i="1"/>
  <c r="N11" i="1"/>
  <c r="O11" i="1" s="1"/>
  <c r="A11" i="1"/>
  <c r="P10" i="1"/>
  <c r="N10" i="1"/>
  <c r="O10" i="1" s="1"/>
  <c r="A10" i="1"/>
  <c r="P9" i="1"/>
  <c r="O9" i="1"/>
  <c r="N9" i="1"/>
  <c r="A9" i="1"/>
  <c r="P8" i="1"/>
  <c r="N8" i="1"/>
  <c r="O8" i="1" s="1"/>
  <c r="A8" i="1"/>
  <c r="P7" i="1"/>
  <c r="N7" i="1"/>
  <c r="O7" i="1" s="1"/>
  <c r="P6" i="1"/>
  <c r="N6" i="1"/>
  <c r="O6" i="1" s="1"/>
  <c r="A6" i="1"/>
  <c r="P5" i="1"/>
  <c r="O5" i="1"/>
  <c r="N5" i="1"/>
  <c r="A5" i="1"/>
  <c r="P4" i="1"/>
  <c r="O4" i="1"/>
  <c r="N4" i="1"/>
  <c r="A4" i="1"/>
  <c r="P3" i="1"/>
  <c r="N3" i="1"/>
  <c r="O3" i="1" s="1"/>
</calcChain>
</file>

<file path=xl/sharedStrings.xml><?xml version="1.0" encoding="utf-8"?>
<sst xmlns="http://schemas.openxmlformats.org/spreadsheetml/2006/main" count="6913" uniqueCount="5209">
  <si>
    <t>-  BOOKING MANAGEMENT  -</t>
  </si>
  <si>
    <t>Date</t>
  </si>
  <si>
    <t>AccountID</t>
  </si>
  <si>
    <t>BookingNo</t>
  </si>
  <si>
    <t>PIN</t>
  </si>
  <si>
    <t>HotelID</t>
  </si>
  <si>
    <t>HotelName</t>
  </si>
  <si>
    <t>Cost</t>
  </si>
  <si>
    <t>CheckIn</t>
  </si>
  <si>
    <t>CheckOut</t>
  </si>
  <si>
    <t>PromoCode</t>
  </si>
  <si>
    <t>Status</t>
  </si>
  <si>
    <t>Level</t>
  </si>
  <si>
    <t>Asign to</t>
  </si>
  <si>
    <t>Reward paid on</t>
  </si>
  <si>
    <t>Days Left</t>
  </si>
  <si>
    <t>Линк</t>
  </si>
  <si>
    <t>auto_status</t>
  </si>
  <si>
    <t>auto_hotel</t>
  </si>
  <si>
    <t>auto_check_in</t>
  </si>
  <si>
    <t>auto_check_out</t>
  </si>
  <si>
    <t>auto_reward</t>
  </si>
  <si>
    <t>auto_loyal</t>
  </si>
  <si>
    <t>last_check</t>
  </si>
  <si>
    <t>auto_confirm</t>
  </si>
  <si>
    <t>auto_pin</t>
  </si>
  <si>
    <t>lkfzniskaus@gmx.com</t>
  </si>
  <si>
    <t>H001</t>
  </si>
  <si>
    <t>Courtyard Carolina Beach Oceanfront</t>
  </si>
  <si>
    <t>completed</t>
  </si>
  <si>
    <t>Genius Level 2</t>
  </si>
  <si>
    <t>Unknown</t>
  </si>
  <si>
    <t>2025-11-10</t>
  </si>
  <si>
    <t>qiuqgtofk13@gmx.us</t>
  </si>
  <si>
    <t>H002</t>
  </si>
  <si>
    <t>Ramada by Wyndham Anchorage</t>
  </si>
  <si>
    <t>cancelled</t>
  </si>
  <si>
    <t>rpclnpyy422@gmx.com</t>
  </si>
  <si>
    <t>H003</t>
  </si>
  <si>
    <t>Holiday Inn Express Hotel &amp; Suites Seattle North - Lynnwood by IHG</t>
  </si>
  <si>
    <t>clkrqjwq59mb@gmx.com</t>
  </si>
  <si>
    <t>H004</t>
  </si>
  <si>
    <t>Holiday Inn Hotel &amp; Suites Silicon Valley – Milpitas by IHG</t>
  </si>
  <si>
    <t>zfiavwj081@gmx.com</t>
  </si>
  <si>
    <t>6847393032</t>
  </si>
  <si>
    <t>7624</t>
  </si>
  <si>
    <t>H005</t>
  </si>
  <si>
    <t>Holiday Inn Express Doral Miami by IHG</t>
  </si>
  <si>
    <t>confirmed</t>
  </si>
  <si>
    <t>Confirmed</t>
  </si>
  <si>
    <t>Sun, Dec 14, 2025</t>
  </si>
  <si>
    <t>Mon, Dec 15, 2025</t>
  </si>
  <si>
    <t>25.31</t>
  </si>
  <si>
    <t>wzvaac8423@gmx.us</t>
  </si>
  <si>
    <t>H006</t>
  </si>
  <si>
    <t>Crowne Plaza Anchorage-Midtown by IHG</t>
  </si>
  <si>
    <t>jbcdqjei16@gmx.us</t>
  </si>
  <si>
    <t>H007</t>
  </si>
  <si>
    <t>Chumash Casino Resort</t>
  </si>
  <si>
    <t>fusxrtdjcwj6@gmx.us</t>
  </si>
  <si>
    <t>H008</t>
  </si>
  <si>
    <t>Holiday Inn Express &amp; Suites Amarillo West by IHG</t>
  </si>
  <si>
    <t>tdfribp7517@gmx.us</t>
  </si>
  <si>
    <t>H009</t>
  </si>
  <si>
    <t>Comfort Inn Yreka I-5</t>
  </si>
  <si>
    <t>qfcypbemv831@gmx.us</t>
  </si>
  <si>
    <t>H010</t>
  </si>
  <si>
    <t>La Quinta by Wyndham Visalia/Sequoia Gateway</t>
  </si>
  <si>
    <t>ousjzbqi674@gmx.us</t>
  </si>
  <si>
    <t>H011</t>
  </si>
  <si>
    <t>Hilton Los Angeles Airport</t>
  </si>
  <si>
    <t>Cancelled</t>
  </si>
  <si>
    <t>lsibdvmle3@gmx.us</t>
  </si>
  <si>
    <t>H012</t>
  </si>
  <si>
    <t>Holiday Inn Express &amp; Suites Sandusky by IHG</t>
  </si>
  <si>
    <t>yjsmwrpuho6@gmx.us</t>
  </si>
  <si>
    <t>H013</t>
  </si>
  <si>
    <t>West Beach Inn, a Coast Hotel</t>
  </si>
  <si>
    <t>kelvinfelkins@post.com</t>
  </si>
  <si>
    <t>H014</t>
  </si>
  <si>
    <t>La Quinta by Wyndham Mansfield OH</t>
  </si>
  <si>
    <t>dennis77morgan@mail.com</t>
  </si>
  <si>
    <t>H015</t>
  </si>
  <si>
    <t>La Quinta by Wyndham Auburn</t>
  </si>
  <si>
    <t>houvesayawa-1096@mail.com</t>
  </si>
  <si>
    <t>H016</t>
  </si>
  <si>
    <t>La Quinta Inn &amp; Suites by Wyndham Fort Stockton Northeast</t>
  </si>
  <si>
    <t>timothy44hall@mail.com</t>
  </si>
  <si>
    <t>H017</t>
  </si>
  <si>
    <t>La Quinta by Wyndham Luling</t>
  </si>
  <si>
    <t>radiant.candle@gmx.com</t>
  </si>
  <si>
    <t>H018</t>
  </si>
  <si>
    <t>Comfort Suites New Bern near Cherry Point</t>
  </si>
  <si>
    <t>charles99simmons@mail.com</t>
  </si>
  <si>
    <t>H019</t>
  </si>
  <si>
    <t>Wyndham Garden Orlando Airport - Free Airport Shuttle</t>
  </si>
  <si>
    <t>burnsmarie1980@gmx.com</t>
  </si>
  <si>
    <t>H020</t>
  </si>
  <si>
    <t>La Quinta by Wyndham Butte</t>
  </si>
  <si>
    <t>alejandrinaletze@geologist.com</t>
  </si>
  <si>
    <t>H021</t>
  </si>
  <si>
    <t>Best Western Plus Regency Park</t>
  </si>
  <si>
    <t>Thu, Sep 4, 2025</t>
  </si>
  <si>
    <t>Mon, Sep 8, 2025</t>
  </si>
  <si>
    <t>48.67</t>
  </si>
  <si>
    <t>5340161836</t>
  </si>
  <si>
    <t>1737</t>
  </si>
  <si>
    <t>vqoeyu5997@gmx.us</t>
  </si>
  <si>
    <t>H022</t>
  </si>
  <si>
    <t>AIRPORT APARTMENT MONTERREY 628</t>
  </si>
  <si>
    <t>Sun, Sep 7, 2025</t>
  </si>
  <si>
    <t>6920726655</t>
  </si>
  <si>
    <t>1346</t>
  </si>
  <si>
    <t>jisgptmff3@gmx.us</t>
  </si>
  <si>
    <t>H023</t>
  </si>
  <si>
    <t>La Quinta by Wyndham Cookeville</t>
  </si>
  <si>
    <t>Wed, Sep 10, 2025</t>
  </si>
  <si>
    <t>6503981210</t>
  </si>
  <si>
    <t>2387</t>
  </si>
  <si>
    <t>Tue, Sep 9, 2025</t>
  </si>
  <si>
    <t>87.17</t>
  </si>
  <si>
    <t>6946769023</t>
  </si>
  <si>
    <t>1496</t>
  </si>
  <si>
    <t>ivybrad1994@gmx.com</t>
  </si>
  <si>
    <t>H024</t>
  </si>
  <si>
    <t>Americourt Extended Stays</t>
  </si>
  <si>
    <t>Thu, Sep 11, 2025</t>
  </si>
  <si>
    <t>6726004879</t>
  </si>
  <si>
    <t>4171</t>
  </si>
  <si>
    <t>bshwtcuy7@gmx.us</t>
  </si>
  <si>
    <t>H025</t>
  </si>
  <si>
    <t>La Quinta by Wyndham Inglewood</t>
  </si>
  <si>
    <t>Fri, Sep 12, 2025</t>
  </si>
  <si>
    <t>5415078458</t>
  </si>
  <si>
    <t>7842</t>
  </si>
  <si>
    <t>cttotwbbp9@gmx.com</t>
  </si>
  <si>
    <t>H026</t>
  </si>
  <si>
    <t>Courtyard Orlando Altamonte Springs Maitland</t>
  </si>
  <si>
    <t>5394060092</t>
  </si>
  <si>
    <t>1636</t>
  </si>
  <si>
    <t>Completed</t>
  </si>
  <si>
    <t>94.13</t>
  </si>
  <si>
    <t>6607229062</t>
  </si>
  <si>
    <t>9585</t>
  </si>
  <si>
    <t>6556644114</t>
  </si>
  <si>
    <t>6001</t>
  </si>
  <si>
    <t>100.35</t>
  </si>
  <si>
    <t>5716610640</t>
  </si>
  <si>
    <t>8547</t>
  </si>
  <si>
    <t>twwjxkcmrya9@gmx.us</t>
  </si>
  <si>
    <t>H027</t>
  </si>
  <si>
    <t>Best Western Ponderosa Lodge</t>
  </si>
  <si>
    <t>5643382672</t>
  </si>
  <si>
    <t>1710</t>
  </si>
  <si>
    <t>nedpabwi3@gmx.us</t>
  </si>
  <si>
    <t>H028</t>
  </si>
  <si>
    <t>La Quinta by Wyndham Austin at The Domain</t>
  </si>
  <si>
    <t>Sun, Sep 14, 2025</t>
  </si>
  <si>
    <t>Tue, Sep 16, 2025</t>
  </si>
  <si>
    <t>46.83</t>
  </si>
  <si>
    <t>5364900961</t>
  </si>
  <si>
    <t>4145</t>
  </si>
  <si>
    <t>gfyridwvucf@gmx.us</t>
  </si>
  <si>
    <t>14</t>
  </si>
  <si>
    <t>16</t>
  </si>
  <si>
    <t>6424700973</t>
  </si>
  <si>
    <t>4526</t>
  </si>
  <si>
    <t>adrkigq602@gmx.us</t>
  </si>
  <si>
    <t>H029</t>
  </si>
  <si>
    <t>Hyatt Place Pena Station/Denver Airport</t>
  </si>
  <si>
    <t>Mon, Sep 15, 2025</t>
  </si>
  <si>
    <t>Wed, Sep 17, 2025</t>
  </si>
  <si>
    <t>84.94</t>
  </si>
  <si>
    <t>5200474262</t>
  </si>
  <si>
    <t>8267</t>
  </si>
  <si>
    <t>ntxttngdz@gmx.us</t>
  </si>
  <si>
    <t>Thu, Sep 18, 2025</t>
  </si>
  <si>
    <t>114.74</t>
  </si>
  <si>
    <t>5200421714</t>
  </si>
  <si>
    <t>9981</t>
  </si>
  <si>
    <t>cswwxpbsh2@gmx.us</t>
  </si>
  <si>
    <t>H030</t>
  </si>
  <si>
    <t>La Quinta Inn &amp; Suites by Wyndham Mooresville</t>
  </si>
  <si>
    <t>120</t>
  </si>
  <si>
    <t>6402808261</t>
  </si>
  <si>
    <t>6693</t>
  </si>
  <si>
    <t>milzq6tkristian@gmx.com</t>
  </si>
  <si>
    <t>H031</t>
  </si>
  <si>
    <t>La Quinta by Wyndham Dodge City</t>
  </si>
  <si>
    <t>6328031115</t>
  </si>
  <si>
    <t>3025</t>
  </si>
  <si>
    <t>pbujtnalaobt8@gmx.us</t>
  </si>
  <si>
    <t>H032</t>
  </si>
  <si>
    <t>La Quinta by Wyndham Mobile - Daphne</t>
  </si>
  <si>
    <t>5813951839</t>
  </si>
  <si>
    <t>4739</t>
  </si>
  <si>
    <t>alisa-gladin@gmx.com</t>
  </si>
  <si>
    <t>H033</t>
  </si>
  <si>
    <t>Paradisus Los Cabos - Adults Only - All Inclusive</t>
  </si>
  <si>
    <t>6126719995</t>
  </si>
  <si>
    <t>0016</t>
  </si>
  <si>
    <t>plqsjaxju31@gmx.us</t>
  </si>
  <si>
    <t>H034</t>
  </si>
  <si>
    <t>La Quinta by Wyndham Naples East (I-75)</t>
  </si>
  <si>
    <t>Fri, Sep 19, 2025</t>
  </si>
  <si>
    <t>6357772269</t>
  </si>
  <si>
    <t>2413</t>
  </si>
  <si>
    <t>aqazrkeoog@gmx.com</t>
  </si>
  <si>
    <t>H035</t>
  </si>
  <si>
    <t>Mountain Valley Inn &amp; Suites</t>
  </si>
  <si>
    <t>5817839814</t>
  </si>
  <si>
    <t>8201</t>
  </si>
  <si>
    <t>dbpuqwl7614@gmx.us</t>
  </si>
  <si>
    <t>H036</t>
  </si>
  <si>
    <t>La Quinta by Wyndham Chattanooga - East Ridge</t>
  </si>
  <si>
    <t>Sat, Sep 20, 2025</t>
  </si>
  <si>
    <t>5362064681</t>
  </si>
  <si>
    <t>6412</t>
  </si>
  <si>
    <t>phnahih0844@gmx.com</t>
  </si>
  <si>
    <t>H037</t>
  </si>
  <si>
    <t>La Quinta Inn &amp; Suites by Wyndham Lafayette Oil Center</t>
  </si>
  <si>
    <t>5260633192</t>
  </si>
  <si>
    <t>0608</t>
  </si>
  <si>
    <t>zasozokudia0h@gmx.net</t>
  </si>
  <si>
    <t>20</t>
  </si>
  <si>
    <t>6062354528</t>
  </si>
  <si>
    <t>8714</t>
  </si>
  <si>
    <t>mekpptcuesta@gmx.com</t>
  </si>
  <si>
    <t>H038</t>
  </si>
  <si>
    <t>La Quinta by Wyndham Savannah Airport - Pooler</t>
  </si>
  <si>
    <t>6088854248</t>
  </si>
  <si>
    <t>3841</t>
  </si>
  <si>
    <t>khgqjgn082@gmx.com</t>
  </si>
  <si>
    <t>H039</t>
  </si>
  <si>
    <t>Best Western Plus Arroyo Roble Hotel &amp; Creekside Villas</t>
  </si>
  <si>
    <t>6013813447</t>
  </si>
  <si>
    <t>4505</t>
  </si>
  <si>
    <t>rrofyoifr52@gmx.com</t>
  </si>
  <si>
    <t>H040</t>
  </si>
  <si>
    <t>Best Western Plus Hanes Mall</t>
  </si>
  <si>
    <t>Sun, Sep 21, 2025</t>
  </si>
  <si>
    <t>84.30</t>
  </si>
  <si>
    <t>6756282965</t>
  </si>
  <si>
    <t>9577</t>
  </si>
  <si>
    <t>qdpbqulq5@gmx.us</t>
  </si>
  <si>
    <t>H041</t>
  </si>
  <si>
    <t>Riverside Hotel, BW Premier Collection</t>
  </si>
  <si>
    <t>6817397014</t>
  </si>
  <si>
    <t>3793</t>
  </si>
  <si>
    <t>naahjrcqfyi@gmx.us</t>
  </si>
  <si>
    <t>Tue, Sep 23, 2025</t>
  </si>
  <si>
    <t>Wed, Sep 24, 2025</t>
  </si>
  <si>
    <t>68.19</t>
  </si>
  <si>
    <t>6957704458</t>
  </si>
  <si>
    <t>7333</t>
  </si>
  <si>
    <t>yrzbtr6804@gmx.com</t>
  </si>
  <si>
    <t>H042</t>
  </si>
  <si>
    <t>Travelodge by Wyndham LAX</t>
  </si>
  <si>
    <t>Fri, Sep 26, 2025</t>
  </si>
  <si>
    <t>6814593583</t>
  </si>
  <si>
    <t>3184</t>
  </si>
  <si>
    <t>jbbow4353@gmx.com</t>
  </si>
  <si>
    <t>H043</t>
  </si>
  <si>
    <t>La Quinta by Wyndham Leesville Ft. Polk</t>
  </si>
  <si>
    <t>6069148301</t>
  </si>
  <si>
    <t>1304</t>
  </si>
  <si>
    <t>Sat, Sep 27, 2025</t>
  </si>
  <si>
    <t>5316985076</t>
  </si>
  <si>
    <t>6698</t>
  </si>
  <si>
    <t>Thu, Sep 25, 2025</t>
  </si>
  <si>
    <t>6838082786</t>
  </si>
  <si>
    <t>0078</t>
  </si>
  <si>
    <t>85</t>
  </si>
  <si>
    <t>5251399868</t>
  </si>
  <si>
    <t>9080</t>
  </si>
  <si>
    <t>dsmjp9816@gmx.com</t>
  </si>
  <si>
    <t>H044</t>
  </si>
  <si>
    <t>Country Inn &amp; Suites by Radisson, Dalton, GA</t>
  </si>
  <si>
    <t>Sun, Sep 28, 2025</t>
  </si>
  <si>
    <t>51.34</t>
  </si>
  <si>
    <t>6499225702</t>
  </si>
  <si>
    <t>7070</t>
  </si>
  <si>
    <t>117.91</t>
  </si>
  <si>
    <t>5736545520</t>
  </si>
  <si>
    <t>6886</t>
  </si>
  <si>
    <t>5633521110</t>
  </si>
  <si>
    <t>6340</t>
  </si>
  <si>
    <t>6710910656</t>
  </si>
  <si>
    <t>0875</t>
  </si>
  <si>
    <t>tincgaffswedlaw1980@gmx.us</t>
  </si>
  <si>
    <t>H045</t>
  </si>
  <si>
    <t>La Quinta by Wyndham Salisbury</t>
  </si>
  <si>
    <t>Fri, Sep 5, 2025</t>
  </si>
  <si>
    <t>5353017761</t>
  </si>
  <si>
    <t>0267</t>
  </si>
  <si>
    <t>zphhkhdghgw@gmx.com</t>
  </si>
  <si>
    <t>H046</t>
  </si>
  <si>
    <t>La Quinta by Wyndham Trinidad</t>
  </si>
  <si>
    <t>Mon, Sep 29, 2025</t>
  </si>
  <si>
    <t>Thu, Oct 2, 2025</t>
  </si>
  <si>
    <t>6839958749</t>
  </si>
  <si>
    <t>0859</t>
  </si>
  <si>
    <t>Sat, Oct 4, 2025</t>
  </si>
  <si>
    <t>5249573353</t>
  </si>
  <si>
    <t>4277</t>
  </si>
  <si>
    <t>ollustu5602@gmx.com</t>
  </si>
  <si>
    <t>H047</t>
  </si>
  <si>
    <t>Quality Inn Aiken North</t>
  </si>
  <si>
    <t>Fri, Oct 3, 2025</t>
  </si>
  <si>
    <t>111.89</t>
  </si>
  <si>
    <t>6350360992</t>
  </si>
  <si>
    <t>7006</t>
  </si>
  <si>
    <t>Sun, Oct 5, 2025</t>
  </si>
  <si>
    <t>6298212138</t>
  </si>
  <si>
    <t>6207</t>
  </si>
  <si>
    <t>cnwgertfv19@gmx.com</t>
  </si>
  <si>
    <t>Mon, Oct 6, 2025</t>
  </si>
  <si>
    <t>83.27</t>
  </si>
  <si>
    <t>5494329250</t>
  </si>
  <si>
    <t>2258</t>
  </si>
  <si>
    <t>veceapr675@gmx.com</t>
  </si>
  <si>
    <t>H048</t>
  </si>
  <si>
    <t>La Quinta Inn &amp; Suites by Wyndham Lake City</t>
  </si>
  <si>
    <t>6840855886</t>
  </si>
  <si>
    <t>8150</t>
  </si>
  <si>
    <t>Tue, Oct 7, 2025</t>
  </si>
  <si>
    <t>6654579096</t>
  </si>
  <si>
    <t>0548</t>
  </si>
  <si>
    <t>dposixlyn214@gmx.com</t>
  </si>
  <si>
    <t>H049</t>
  </si>
  <si>
    <t>Holiday Inn Express Breaux Bridge by IHG</t>
  </si>
  <si>
    <t>6840896773</t>
  </si>
  <si>
    <t>9839</t>
  </si>
  <si>
    <t>ewirazbk7@gmx.com</t>
  </si>
  <si>
    <t>H050</t>
  </si>
  <si>
    <t>La Quinta by Wyndham Coeur d`Alene</t>
  </si>
  <si>
    <t>6747819089</t>
  </si>
  <si>
    <t>5568</t>
  </si>
  <si>
    <t>Wed, Oct 8, 2025</t>
  </si>
  <si>
    <t>5744659261</t>
  </si>
  <si>
    <t>9533</t>
  </si>
  <si>
    <t>6380553902</t>
  </si>
  <si>
    <t>8675</t>
  </si>
  <si>
    <t>Fri, Oct 10, 2025</t>
  </si>
  <si>
    <t>5937733833</t>
  </si>
  <si>
    <t>9090</t>
  </si>
  <si>
    <t>H051</t>
  </si>
  <si>
    <t>Holiday Inn Express Washington DC Downtown by IHG</t>
  </si>
  <si>
    <t>6776549055</t>
  </si>
  <si>
    <t>6329</t>
  </si>
  <si>
    <t>velasquezmelinda1986@gmx.com</t>
  </si>
  <si>
    <t>H052</t>
  </si>
  <si>
    <t>La Quinta by Wyndham Wichita Northeast</t>
  </si>
  <si>
    <t>Sat, Oct 11, 2025</t>
  </si>
  <si>
    <t>160</t>
  </si>
  <si>
    <t>6923100029</t>
  </si>
  <si>
    <t>3244</t>
  </si>
  <si>
    <t>cdaamsyzjde3@gmx.com</t>
  </si>
  <si>
    <t>6125551899</t>
  </si>
  <si>
    <t>2701</t>
  </si>
  <si>
    <t>barryhauln2@gmx.com</t>
  </si>
  <si>
    <t>H053</t>
  </si>
  <si>
    <t>La Quinta by Wyndham Atlanta Airport North</t>
  </si>
  <si>
    <t>98.91</t>
  </si>
  <si>
    <t>5086438252</t>
  </si>
  <si>
    <t>5345</t>
  </si>
  <si>
    <t>H054</t>
  </si>
  <si>
    <t>Holiday Inn &amp; Suites Silicon Valley - Milpitas by IHG</t>
  </si>
  <si>
    <t>6169876804</t>
  </si>
  <si>
    <t>1410</t>
  </si>
  <si>
    <t>110.06</t>
  </si>
  <si>
    <t>6306574906</t>
  </si>
  <si>
    <t>7233</t>
  </si>
  <si>
    <t>9</t>
  </si>
  <si>
    <t>11</t>
  </si>
  <si>
    <t>6554867115</t>
  </si>
  <si>
    <t>4620</t>
  </si>
  <si>
    <t>qidzfwwdddz1@gmx.com</t>
  </si>
  <si>
    <t>Sun, Oct 12, 2025</t>
  </si>
  <si>
    <t>6519930490</t>
  </si>
  <si>
    <t>8842</t>
  </si>
  <si>
    <t>bmbepnag37@gmx.us</t>
  </si>
  <si>
    <t>H055</t>
  </si>
  <si>
    <t>Best Western Plus Richmond</t>
  </si>
  <si>
    <t>Thu, Oct 9, 2025</t>
  </si>
  <si>
    <t>Mon, Oct 13, 2025</t>
  </si>
  <si>
    <t>95.55</t>
  </si>
  <si>
    <t>6609762251</t>
  </si>
  <si>
    <t>6479</t>
  </si>
  <si>
    <t>junnulleibrezo-7458@mail.com</t>
  </si>
  <si>
    <t>H056</t>
  </si>
  <si>
    <t>La Quinta Inn and Suites by Wyndham - Schertz</t>
  </si>
  <si>
    <t>Tue, Oct 14, 2025</t>
  </si>
  <si>
    <t>97.74</t>
  </si>
  <si>
    <t>5066413875</t>
  </si>
  <si>
    <t>9241</t>
  </si>
  <si>
    <t>ktlqqqkw6@gmx.com</t>
  </si>
  <si>
    <t>H057</t>
  </si>
  <si>
    <t>Best Western Green Valley Inn</t>
  </si>
  <si>
    <t>Wed, Oct 15, 2025</t>
  </si>
  <si>
    <t>5698423564</t>
  </si>
  <si>
    <t>8138</t>
  </si>
  <si>
    <t>kfwfkupcc@gmx.com</t>
  </si>
  <si>
    <t>H058</t>
  </si>
  <si>
    <t>Best Western Plus A Wayfarer's Inn &amp; Suites</t>
  </si>
  <si>
    <t>5501038641</t>
  </si>
  <si>
    <t>2608</t>
  </si>
  <si>
    <t>hspgdc0911@gmx.com</t>
  </si>
  <si>
    <t>H059</t>
  </si>
  <si>
    <t>La Quinta by Wyndham Altoona Des Moines</t>
  </si>
  <si>
    <t>Thu, Oct 16, 2025</t>
  </si>
  <si>
    <t>5143069498</t>
  </si>
  <si>
    <t>5829</t>
  </si>
  <si>
    <t>bihdbnqtx67@gmx.us</t>
  </si>
  <si>
    <t>H060</t>
  </si>
  <si>
    <t>Dolce by Wyndham Hollywood</t>
  </si>
  <si>
    <t>Fri, Oct 17, 2025</t>
  </si>
  <si>
    <t>5468637090</t>
  </si>
  <si>
    <t>8869</t>
  </si>
  <si>
    <t>pydfejw955@gmx.com</t>
  </si>
  <si>
    <t>H061</t>
  </si>
  <si>
    <t>The Westin Houston Medical Center - Museum District</t>
  </si>
  <si>
    <t>5018960908</t>
  </si>
  <si>
    <t>4099</t>
  </si>
  <si>
    <t>tlrilgj4303@gmx.us</t>
  </si>
  <si>
    <t>6996908147</t>
  </si>
  <si>
    <t>0677</t>
  </si>
  <si>
    <t>uqmnzmjb68@gmx.us</t>
  </si>
  <si>
    <t>H062</t>
  </si>
  <si>
    <t>Holiday Inn Steamboat Springs by IHG</t>
  </si>
  <si>
    <t>Sat, Oct 18, 2025</t>
  </si>
  <si>
    <t>6405857349</t>
  </si>
  <si>
    <t>5486</t>
  </si>
  <si>
    <t>nukoxuti1973@gmx.us</t>
  </si>
  <si>
    <t>18</t>
  </si>
  <si>
    <t>5065656186</t>
  </si>
  <si>
    <t>4497</t>
  </si>
  <si>
    <t>qctpzsj8082@gmx.com</t>
  </si>
  <si>
    <t>H063</t>
  </si>
  <si>
    <t>Hotel Tampa Riverwalk</t>
  </si>
  <si>
    <t>5513991983</t>
  </si>
  <si>
    <t>3823</t>
  </si>
  <si>
    <t>ombxuze8160@gmx.com</t>
  </si>
  <si>
    <t>H064</t>
  </si>
  <si>
    <t>Aristocrat Hotel, BW Signature Collection</t>
  </si>
  <si>
    <t>6115166879</t>
  </si>
  <si>
    <t>0363</t>
  </si>
  <si>
    <t>gfcktl5473@gmx.us</t>
  </si>
  <si>
    <t>6822481816</t>
  </si>
  <si>
    <t>6487</t>
  </si>
  <si>
    <t>H065</t>
  </si>
  <si>
    <t>Fairfield Inn &amp; Suites by Marriott Key West at The Keys Collection</t>
  </si>
  <si>
    <t>Sun, Oct 19, 2025</t>
  </si>
  <si>
    <t>33.77</t>
  </si>
  <si>
    <t>hywbfmeumm@gmx.us</t>
  </si>
  <si>
    <t>5815861348</t>
  </si>
  <si>
    <t>9755</t>
  </si>
  <si>
    <t>H066</t>
  </si>
  <si>
    <t>The Bower Coronado</t>
  </si>
  <si>
    <t>roeexaay2479@gmx.com</t>
  </si>
  <si>
    <t>H067</t>
  </si>
  <si>
    <t>Hyatt Place New York Yonkers</t>
  </si>
  <si>
    <t>6115163914</t>
  </si>
  <si>
    <t>3642</t>
  </si>
  <si>
    <t>etvegesno1986@gmx.us</t>
  </si>
  <si>
    <t>Mon, Oct 20, 2025</t>
  </si>
  <si>
    <t>119.73</t>
  </si>
  <si>
    <t>6933792230</t>
  </si>
  <si>
    <t>2365</t>
  </si>
  <si>
    <t>fvzjlwvh46@gmx.com</t>
  </si>
  <si>
    <t>H068</t>
  </si>
  <si>
    <t>Hyatt Place Washington DC/Georgetown/West End</t>
  </si>
  <si>
    <t>Tue, Oct 21, 2025</t>
  </si>
  <si>
    <t>6551300755</t>
  </si>
  <si>
    <t>5750</t>
  </si>
  <si>
    <t>fretoutrifoppeu-5387@mail.com</t>
  </si>
  <si>
    <t>Wed, Oct 22, 2025</t>
  </si>
  <si>
    <t>5228178659</t>
  </si>
  <si>
    <t>3638</t>
  </si>
  <si>
    <t>olpoceb9637@gmx.com</t>
  </si>
  <si>
    <t>84.89</t>
  </si>
  <si>
    <t>5920124074</t>
  </si>
  <si>
    <t>6310</t>
  </si>
  <si>
    <t>Genius Level 1</t>
  </si>
  <si>
    <t>Thu, Oct 23, 2025</t>
  </si>
  <si>
    <t>6908760741</t>
  </si>
  <si>
    <t>0252</t>
  </si>
  <si>
    <t>hwures5376@gmx.us</t>
  </si>
  <si>
    <t>H069</t>
  </si>
  <si>
    <t>Hilton Garden Inn Los Angeles / Hollywood</t>
  </si>
  <si>
    <t>6426372817</t>
  </si>
  <si>
    <t>4541</t>
  </si>
  <si>
    <t>qocurk4709@gmx.com</t>
  </si>
  <si>
    <t>H070</t>
  </si>
  <si>
    <t>La Quinta by Wyndham DFW Airport West - Euless</t>
  </si>
  <si>
    <t>5720085155</t>
  </si>
  <si>
    <t>0569</t>
  </si>
  <si>
    <t>Fri, Oct 24, 2025</t>
  </si>
  <si>
    <t>6908771956</t>
  </si>
  <si>
    <t>8197</t>
  </si>
  <si>
    <t>Sat, Oct 25, 2025</t>
  </si>
  <si>
    <t>5930690433</t>
  </si>
  <si>
    <t>5599</t>
  </si>
  <si>
    <t>Sun, Oct 26, 2025</t>
  </si>
  <si>
    <t>5665012606</t>
  </si>
  <si>
    <t>9960</t>
  </si>
  <si>
    <t>6993253243</t>
  </si>
  <si>
    <t>2180</t>
  </si>
  <si>
    <t>6492128654</t>
  </si>
  <si>
    <t>0541</t>
  </si>
  <si>
    <t>Mon, Oct 27, 2025</t>
  </si>
  <si>
    <t>6313053646</t>
  </si>
  <si>
    <t>6654</t>
  </si>
  <si>
    <t>ykiyaytsp380@gmx.com</t>
  </si>
  <si>
    <t>H071</t>
  </si>
  <si>
    <t>Silver Legacy Reno Resort Casino at THE ROW</t>
  </si>
  <si>
    <t>Silver Legacy Reno, A Caesars Destination</t>
  </si>
  <si>
    <t>Sat, Sep 6, 2025</t>
  </si>
  <si>
    <t>579</t>
  </si>
  <si>
    <t>6847300190</t>
  </si>
  <si>
    <t>4213</t>
  </si>
  <si>
    <t>H072</t>
  </si>
  <si>
    <t>Hyatt Place Washington DC/US Capitol</t>
  </si>
  <si>
    <t>H073</t>
  </si>
  <si>
    <t>La Quinta by Wyndham Slidell - North Shore Area</t>
  </si>
  <si>
    <t>75 $ till November</t>
  </si>
  <si>
    <t>uduvonqsgzp@gmx.us</t>
  </si>
  <si>
    <t>H074</t>
  </si>
  <si>
    <t>Quality Inn Greenwood Hwy 25</t>
  </si>
  <si>
    <t>308</t>
  </si>
  <si>
    <t>6035594766</t>
  </si>
  <si>
    <t>3595</t>
  </si>
  <si>
    <t>lessogograxu256@mail.com</t>
  </si>
  <si>
    <t>vxfsjfqn55@gmx.us</t>
  </si>
  <si>
    <t>H075</t>
  </si>
  <si>
    <t>Holiday Inn &amp; Suites Tupelo North by IHG</t>
  </si>
  <si>
    <t>Mon, Sep 22, 2025</t>
  </si>
  <si>
    <t>5781371024</t>
  </si>
  <si>
    <t>7785</t>
  </si>
  <si>
    <t>ptvskoeod157@gmx.us</t>
  </si>
  <si>
    <t>cawkrltsrfe8@gmx.us</t>
  </si>
  <si>
    <t>H076</t>
  </si>
  <si>
    <t>Best Western Inn &amp; Suites Rutland-Killington</t>
  </si>
  <si>
    <t>Sat, Nov 1, 2025</t>
  </si>
  <si>
    <t>Wed, Nov 5, 2025</t>
  </si>
  <si>
    <t>72.22</t>
  </si>
  <si>
    <t>6033066576</t>
  </si>
  <si>
    <t>9751</t>
  </si>
  <si>
    <t>yqbfnk776@gmx.us</t>
  </si>
  <si>
    <t>H077</t>
  </si>
  <si>
    <t>Holiday Inn Key Largo by IHG</t>
  </si>
  <si>
    <t>5319979814</t>
  </si>
  <si>
    <t>1782</t>
  </si>
  <si>
    <t>halder_zdenka@gmx.de</t>
  </si>
  <si>
    <t>H078</t>
  </si>
  <si>
    <t>La Quinta by Wyndham Clifton/Rutherford</t>
  </si>
  <si>
    <t>66.43</t>
  </si>
  <si>
    <t>5781306191</t>
  </si>
  <si>
    <t>3334</t>
  </si>
  <si>
    <t>ducgitonidou57@gmx.net</t>
  </si>
  <si>
    <t>H079</t>
  </si>
  <si>
    <t>La Quinta by Wyndham Boston Somerville</t>
  </si>
  <si>
    <t>5475275616</t>
  </si>
  <si>
    <t>5762</t>
  </si>
  <si>
    <t>ulaujmghclix@gmx.com</t>
  </si>
  <si>
    <t>Wed, Dec 17, 2025</t>
  </si>
  <si>
    <t>84.16</t>
  </si>
  <si>
    <t>5398254838</t>
  </si>
  <si>
    <t>2362</t>
  </si>
  <si>
    <t>ehmrjatg22@gmx.com</t>
  </si>
  <si>
    <t>H080</t>
  </si>
  <si>
    <t>Country Inn &amp; Suites by Radisson, Sycamore, IL</t>
  </si>
  <si>
    <t>Sun, Dec 21, 2025</t>
  </si>
  <si>
    <t>112.77</t>
  </si>
  <si>
    <t>5398261788</t>
  </si>
  <si>
    <t>9456</t>
  </si>
  <si>
    <t>nimojukekou-7651@mail.com</t>
  </si>
  <si>
    <t>5456924562</t>
  </si>
  <si>
    <t>3308</t>
  </si>
  <si>
    <t>H081</t>
  </si>
  <si>
    <t>La Quinta by Wyndham Kerrville</t>
  </si>
  <si>
    <t>Sun, Aug 17, 2025</t>
  </si>
  <si>
    <t>Thu, Nov 27, 2025</t>
  </si>
  <si>
    <t>32.08</t>
  </si>
  <si>
    <t>knzzjnwsgn@gmx.com</t>
  </si>
  <si>
    <t>Wed, Nov 26, 2025</t>
  </si>
  <si>
    <t>Fri, Nov 28, 2025</t>
  </si>
  <si>
    <t>6260591005</t>
  </si>
  <si>
    <t>6499</t>
  </si>
  <si>
    <t>qjrusshiklhk@gmx.com</t>
  </si>
  <si>
    <t>H082</t>
  </si>
  <si>
    <t>Hampton Inn &amp; Suites Maui North Shore</t>
  </si>
  <si>
    <t>Sat, Nov 29, 2025</t>
  </si>
  <si>
    <t>5266010181</t>
  </si>
  <si>
    <t>2061</t>
  </si>
  <si>
    <t>iheivlxytrh@gmx.com</t>
  </si>
  <si>
    <t>6426315965</t>
  </si>
  <si>
    <t>3229</t>
  </si>
  <si>
    <t>yzcgli2042@gmx.us</t>
  </si>
  <si>
    <t>H083</t>
  </si>
  <si>
    <t>La Quinta by Wyndham Atlanta Midtown - Buckhead</t>
  </si>
  <si>
    <t>5167926973</t>
  </si>
  <si>
    <t>0315</t>
  </si>
  <si>
    <t>ryykxql931@gmx.com</t>
  </si>
  <si>
    <t>H084</t>
  </si>
  <si>
    <t>La Quinta Inn &amp; Suites by Wyndham Texas City I 45</t>
  </si>
  <si>
    <t>94.24</t>
  </si>
  <si>
    <t>6827168059</t>
  </si>
  <si>
    <t>2280</t>
  </si>
  <si>
    <t>zigcywpotac@gmx.com</t>
  </si>
  <si>
    <t>H085</t>
  </si>
  <si>
    <t>Embassy Suites By Hilton Denton Convention Center</t>
  </si>
  <si>
    <t>Tue, Dec 9, 2025</t>
  </si>
  <si>
    <t>Wed, Dec 10, 2025</t>
  </si>
  <si>
    <t>6839928216</t>
  </si>
  <si>
    <t>8538</t>
  </si>
  <si>
    <t>tdysxnfbqhyk@gmx.com</t>
  </si>
  <si>
    <t>H086</t>
  </si>
  <si>
    <t>La Quinta by Wyndham Atlanta Alpharetta</t>
  </si>
  <si>
    <t>5781352588</t>
  </si>
  <si>
    <t>2044</t>
  </si>
  <si>
    <t>zdjcmhdo64@gmx.com</t>
  </si>
  <si>
    <t>6837087364</t>
  </si>
  <si>
    <t>8041</t>
  </si>
  <si>
    <t>Sat, Dec 13, 2025</t>
  </si>
  <si>
    <t>18.57</t>
  </si>
  <si>
    <t>mmfsbhulri@gmx.us</t>
  </si>
  <si>
    <t>H087</t>
  </si>
  <si>
    <t>La Quinta Inn &amp; Suites by Wyndham Centralia</t>
  </si>
  <si>
    <t>6569462042</t>
  </si>
  <si>
    <t>2921</t>
  </si>
  <si>
    <t>H088</t>
  </si>
  <si>
    <t>La Quinta by Wyndham Leesville Ft. Polk (Room 2: Ethan)</t>
  </si>
  <si>
    <t>nadpcouif77@gmx.us</t>
  </si>
  <si>
    <t>H089</t>
  </si>
  <si>
    <t>Holiday Inn Hotel &amp; Suites Madison West - Middleton by IHG</t>
  </si>
  <si>
    <t>76.58</t>
  </si>
  <si>
    <t>5183989604</t>
  </si>
  <si>
    <t>6232</t>
  </si>
  <si>
    <t>duldjrql6288@gmx.us</t>
  </si>
  <si>
    <t>H090</t>
  </si>
  <si>
    <t>La Quinta Inn &amp; Suites by Wyndham Marysville</t>
  </si>
  <si>
    <t>12.26</t>
  </si>
  <si>
    <t>5069240710</t>
  </si>
  <si>
    <t>4914</t>
  </si>
  <si>
    <t>5545730582</t>
  </si>
  <si>
    <t>2147</t>
  </si>
  <si>
    <t>ivwrlcoam062@gmx.us</t>
  </si>
  <si>
    <t>H091</t>
  </si>
  <si>
    <t>Hilton Garden Inn Pittsburgh Downtown</t>
  </si>
  <si>
    <t>Wed, Oct 1, 2025</t>
  </si>
  <si>
    <t>31.81</t>
  </si>
  <si>
    <t>5364929763</t>
  </si>
  <si>
    <t>8365</t>
  </si>
  <si>
    <t>carmchwgi298@gmx.com</t>
  </si>
  <si>
    <t>H092</t>
  </si>
  <si>
    <t>No77 Leyn Baan by The One Group of Hotels</t>
  </si>
  <si>
    <t>AA</t>
  </si>
  <si>
    <t>Fri, Oct 31, 2025</t>
  </si>
  <si>
    <t>5012357765</t>
  </si>
  <si>
    <t>6560</t>
  </si>
  <si>
    <t>gnhggumzb5616@gmx.com</t>
  </si>
  <si>
    <t>H093</t>
  </si>
  <si>
    <t>Bay Suites Stay With Us</t>
  </si>
  <si>
    <t>MYR 91,889.08 (approx. $21,938)</t>
  </si>
  <si>
    <t>6765099590</t>
  </si>
  <si>
    <t>4200</t>
  </si>
  <si>
    <t>nvpoyboondrs@gmx.us</t>
  </si>
  <si>
    <t>5932528680</t>
  </si>
  <si>
    <t>H094</t>
  </si>
  <si>
    <t>Best Western Plus Media Center Inn &amp; Suites</t>
  </si>
  <si>
    <t>Wed, Dec 24, 2025</t>
  </si>
  <si>
    <t>Thu, Dec 25, 2025</t>
  </si>
  <si>
    <t>28.84</t>
  </si>
  <si>
    <t>ejzmdjbobjyqr@gmx.com</t>
  </si>
  <si>
    <t>H095</t>
  </si>
  <si>
    <t>Villas at La Cantera Resort &amp; Spa</t>
  </si>
  <si>
    <t>Thu, Nov 6, 2025</t>
  </si>
  <si>
    <t>6700611386</t>
  </si>
  <si>
    <t>1029</t>
  </si>
  <si>
    <t>aidenr6moore@gmx.com</t>
  </si>
  <si>
    <t>6589452267</t>
  </si>
  <si>
    <t>3650</t>
  </si>
  <si>
    <t>Sat, Dec 27, 2025</t>
  </si>
  <si>
    <t>Sun, Dec 28, 2025</t>
  </si>
  <si>
    <t>23.07</t>
  </si>
  <si>
    <t>se4xodilia@gmx.com</t>
  </si>
  <si>
    <t>H096</t>
  </si>
  <si>
    <t>Hyatt Regency Louisville</t>
  </si>
  <si>
    <t>6296555273</t>
  </si>
  <si>
    <t>8758</t>
  </si>
  <si>
    <t>2</t>
  </si>
  <si>
    <t>4</t>
  </si>
  <si>
    <t>6985656656</t>
  </si>
  <si>
    <t>4946</t>
  </si>
  <si>
    <t>H097</t>
  </si>
  <si>
    <t>Hyatt Place Washington D.C./National Mall</t>
  </si>
  <si>
    <t>Sun, Nov 2, 2025</t>
  </si>
  <si>
    <t>Tue, Nov 4, 2025</t>
  </si>
  <si>
    <t>100</t>
  </si>
  <si>
    <t>5531382659</t>
  </si>
  <si>
    <t>9989</t>
  </si>
  <si>
    <t>zhunphmwga72@gmx.com</t>
  </si>
  <si>
    <t>Holiday Inn Express Lancaster by IHG</t>
  </si>
  <si>
    <t>Fri, Nov 7, 2025</t>
  </si>
  <si>
    <t>Mon, Nov 10, 2025</t>
  </si>
  <si>
    <t>6506782988</t>
  </si>
  <si>
    <t>7924</t>
  </si>
  <si>
    <t>zioegjvf16@gmx.com</t>
  </si>
  <si>
    <t>Wyndham Garden College Station</t>
  </si>
  <si>
    <t>Sun, Nov 9, 2025</t>
  </si>
  <si>
    <t>5396724171</t>
  </si>
  <si>
    <t>2683</t>
  </si>
  <si>
    <t>nxkfhwc83@gmx.com</t>
  </si>
  <si>
    <t>La Quinta by Wyndham Winchester</t>
  </si>
  <si>
    <t>Sat, Nov 8, 2025</t>
  </si>
  <si>
    <t>57.40</t>
  </si>
  <si>
    <t>6819875747</t>
  </si>
  <si>
    <t>2086</t>
  </si>
  <si>
    <t>jauuvxrto2061@gmx.com</t>
  </si>
  <si>
    <t>5068800316</t>
  </si>
  <si>
    <t>0130</t>
  </si>
  <si>
    <t>uvkujcr14@gmx.com</t>
  </si>
  <si>
    <t>La Quinta by Wyndham Tampa Central</t>
  </si>
  <si>
    <t>Wed, Nov 12, 2025</t>
  </si>
  <si>
    <t>5068848811</t>
  </si>
  <si>
    <t>3442</t>
  </si>
  <si>
    <t>xqspun215@gmx.com</t>
  </si>
  <si>
    <t>79.72</t>
  </si>
  <si>
    <t>5934243845</t>
  </si>
  <si>
    <t>7508</t>
  </si>
  <si>
    <t>souzaisiah1999@gmx.com</t>
  </si>
  <si>
    <t>Fri, Nov 14, 2025</t>
  </si>
  <si>
    <t>5168699450</t>
  </si>
  <si>
    <t>4047</t>
  </si>
  <si>
    <t>mitchellrenee1980@gmx.com</t>
  </si>
  <si>
    <t>113.57</t>
  </si>
  <si>
    <t>5963179434</t>
  </si>
  <si>
    <t>6904</t>
  </si>
  <si>
    <r>
      <rPr>
        <u/>
        <sz val="11"/>
        <color rgb="FF1155CC"/>
        <rFont val="Calibri"/>
      </rPr>
      <t>ivybrad1994@gmx.com</t>
    </r>
  </si>
  <si>
    <r>
      <rPr>
        <u/>
        <sz val="11"/>
        <color rgb="FF1155CC"/>
        <rFont val="Calibri"/>
      </rPr>
      <t>cttotwbbp9@gmx.com</t>
    </r>
  </si>
  <si>
    <r>
      <rPr>
        <u/>
        <sz val="11"/>
        <color rgb="FF1155CC"/>
        <rFont val="Calibri"/>
      </rPr>
      <t>bshwtcuy7@gmx.us</t>
    </r>
  </si>
  <si>
    <r>
      <rPr>
        <u/>
        <sz val="11"/>
        <color rgb="FF1155CC"/>
        <rFont val="Calibri"/>
      </rPr>
      <t>ousjzbqi674@gmx.us</t>
    </r>
  </si>
  <si>
    <r>
      <rPr>
        <u/>
        <sz val="11"/>
        <color rgb="FF1155CC"/>
        <rFont val="Calibri"/>
      </rPr>
      <t>naahjrcqfyi@gmx.us</t>
    </r>
  </si>
  <si>
    <r>
      <rPr>
        <u/>
        <sz val="11"/>
        <color rgb="FF1155CC"/>
        <rFont val="Calibri"/>
      </rPr>
      <t>yrzbtr6804@gmx.com</t>
    </r>
  </si>
  <si>
    <r>
      <rPr>
        <u/>
        <sz val="11"/>
        <color rgb="FF1155CC"/>
        <rFont val="Calibri"/>
      </rPr>
      <t>yjsmwrpuho6@gmx.us</t>
    </r>
  </si>
  <si>
    <r>
      <rPr>
        <u/>
        <sz val="11"/>
        <color rgb="FF1155CC"/>
        <rFont val="Calibri"/>
      </rPr>
      <t>pbujtnalaobt8@gmx.us</t>
    </r>
  </si>
  <si>
    <r>
      <rPr>
        <u/>
        <sz val="11"/>
        <color rgb="FF1155CC"/>
        <rFont val="Calibri"/>
      </rPr>
      <t>zphhkhdghgw@gmx.com</t>
    </r>
  </si>
  <si>
    <r>
      <rPr>
        <u/>
        <sz val="11"/>
        <color rgb="FF1155CC"/>
        <rFont val="Calibri"/>
      </rPr>
      <t>burnsmarie1980@gmx.com</t>
    </r>
  </si>
  <si>
    <r>
      <rPr>
        <u/>
        <sz val="11"/>
        <color rgb="FF1155CC"/>
        <rFont val="Calibri"/>
      </rPr>
      <t>cdaamsyzjde3@gmx.com</t>
    </r>
  </si>
  <si>
    <r>
      <rPr>
        <u/>
        <sz val="11"/>
        <color rgb="FF1155CC"/>
        <rFont val="Calibri"/>
      </rPr>
      <t>velasquezmelinda1986@gmx.com</t>
    </r>
  </si>
  <si>
    <r>
      <rPr>
        <u/>
        <sz val="11"/>
        <color rgb="FF1155CC"/>
        <rFont val="Calibri"/>
      </rPr>
      <t>emqajoekc@gmx.com</t>
    </r>
  </si>
  <si>
    <t>Kingston Plantation Condos</t>
  </si>
  <si>
    <r>
      <rPr>
        <u/>
        <sz val="11"/>
        <color rgb="FF1155CC"/>
        <rFont val="Calibri"/>
      </rPr>
      <t>zspsmweem327@gmx.com</t>
    </r>
  </si>
  <si>
    <t>Harrah's Las Vegas, A Caesars Destination</t>
  </si>
  <si>
    <r>
      <rPr>
        <u/>
        <sz val="11"/>
        <color rgb="FF1155CC"/>
        <rFont val="Calibri"/>
      </rPr>
      <t>ofxbdestw5@gmx.com</t>
    </r>
  </si>
  <si>
    <t>Millennium Knickerbocker Chicago</t>
  </si>
  <si>
    <r>
      <rPr>
        <u/>
        <sz val="11"/>
        <color rgb="FF1155CC"/>
        <rFont val="Calibri"/>
      </rPr>
      <t>roeexaay2479@gmx.com</t>
    </r>
  </si>
  <si>
    <r>
      <rPr>
        <u/>
        <sz val="11"/>
        <color rgb="FF1155CC"/>
        <rFont val="Calibri"/>
      </rPr>
      <t>kelvinfelkins@post.com</t>
    </r>
  </si>
  <si>
    <r>
      <rPr>
        <u/>
        <sz val="11"/>
        <color rgb="FF1155CC"/>
        <rFont val="Calibri"/>
      </rPr>
      <t>fretoutrifoppeu-5387@mail.com</t>
    </r>
  </si>
  <si>
    <r>
      <rPr>
        <u/>
        <sz val="11"/>
        <color rgb="FF1155CC"/>
        <rFont val="Calibri"/>
      </rPr>
      <t>nukoxuti1973@gmx.us</t>
    </r>
  </si>
  <si>
    <r>
      <rPr>
        <u/>
        <sz val="11"/>
        <color rgb="FF1155CC"/>
        <rFont val="Calibri"/>
      </rPr>
      <t>mitchellrenee1980@gmx.com</t>
    </r>
  </si>
  <si>
    <r>
      <rPr>
        <u/>
        <sz val="11"/>
        <color rgb="FF1155CC"/>
        <rFont val="Calibri"/>
      </rPr>
      <t>souzaisiah1999@gmx.com</t>
    </r>
  </si>
  <si>
    <r>
      <rPr>
        <u/>
        <sz val="11"/>
        <color rgb="FF1155CC"/>
        <rFont val="Calibri"/>
      </rPr>
      <t>gfcktl5473@gmx.us</t>
    </r>
  </si>
  <si>
    <t>Club Quarters Hotel White House, Washington DC</t>
  </si>
  <si>
    <r>
      <rPr>
        <u/>
        <sz val="11"/>
        <color rgb="FF1155CC"/>
        <rFont val="Calibri"/>
      </rPr>
      <t>yqbfnk776@gmx.us</t>
    </r>
  </si>
  <si>
    <t>SALE DATE</t>
  </si>
  <si>
    <t>EMAIL</t>
  </si>
  <si>
    <t>CONFIRMATION NO</t>
  </si>
  <si>
    <t>HOTEL NAME</t>
  </si>
  <si>
    <t>COST</t>
  </si>
  <si>
    <t>CHECK-IN</t>
  </si>
  <si>
    <t>CHECK-OUT</t>
  </si>
  <si>
    <t>STATUS</t>
  </si>
  <si>
    <t>LEVEL</t>
  </si>
  <si>
    <r>
      <rPr>
        <u/>
        <sz val="11"/>
        <color rgb="FF1155CC"/>
        <rFont val="Calibri"/>
      </rPr>
      <t>juan-arzaqxm@gmx.com</t>
    </r>
  </si>
  <si>
    <t>Best Western Hollywood Plaza Inn Hotel - Hollywood Walk of Fame LA</t>
  </si>
  <si>
    <r>
      <rPr>
        <u/>
        <sz val="11"/>
        <color rgb="FF1155CC"/>
        <rFont val="Calibri"/>
      </rPr>
      <t>anthony-alerfoag@gmx.com</t>
    </r>
  </si>
  <si>
    <t>Best Western Savannah Historic District</t>
  </si>
  <si>
    <r>
      <rPr>
        <u/>
        <sz val="11"/>
        <color rgb="FF1155CC"/>
        <rFont val="Calibri"/>
      </rPr>
      <t>beau.kraimervktg@gmx.com</t>
    </r>
  </si>
  <si>
    <t>Best Western Plus Yosemite Way Station</t>
  </si>
  <si>
    <r>
      <rPr>
        <u/>
        <sz val="11"/>
        <color rgb="FF1155CC"/>
        <rFont val="Calibri"/>
      </rPr>
      <t>raleigh_macarivgh@gmx.com</t>
    </r>
  </si>
  <si>
    <t>Holiday Inn Saratoga Springs by IHG</t>
  </si>
  <si>
    <r>
      <rPr>
        <u/>
        <sz val="11"/>
        <color rgb="FF1155CC"/>
        <rFont val="Calibri"/>
      </rPr>
      <t>benito-chippyutv@gmx.com</t>
    </r>
  </si>
  <si>
    <t>Best Western Hoover Dam Hotel - SE Henderson, Boulder City</t>
  </si>
  <si>
    <t>REWARD</t>
  </si>
  <si>
    <r>
      <rPr>
        <u/>
        <sz val="11"/>
        <color rgb="FF1155CC"/>
        <rFont val="Calibri"/>
      </rPr>
      <t>eddy.hlavenkacrlz@gmx.com</t>
    </r>
  </si>
  <si>
    <t>Holiday Inn At Six Flags Saint Louis by IHG</t>
  </si>
  <si>
    <r>
      <rPr>
        <u/>
        <sz val="11"/>
        <color rgb="FF1155CC"/>
        <rFont val="Calibri"/>
      </rPr>
      <t>prince.toffologxej@gmx.com</t>
    </r>
  </si>
  <si>
    <r>
      <rPr>
        <u/>
        <sz val="11"/>
        <color rgb="FF1155CC"/>
        <rFont val="Calibri"/>
      </rPr>
      <t>kerry.noallqdd@gmx.com</t>
    </r>
  </si>
  <si>
    <t>Holiday Inn Express Hotel &amp; Suites New Boston by IHG</t>
  </si>
  <si>
    <r>
      <rPr>
        <u/>
        <sz val="11"/>
        <color rgb="FF1155CC"/>
        <rFont val="Calibri"/>
      </rPr>
      <t>oren-morcigliolvbm@gmx.com</t>
    </r>
  </si>
  <si>
    <t>Holiday Inn Auburn-Finger Lakes Region by IHG</t>
  </si>
  <si>
    <r>
      <rPr>
        <u/>
        <sz val="11"/>
        <color rgb="FF1155CC"/>
        <rFont val="Calibri"/>
      </rPr>
      <t>tod.savaresewtpb@gmx.com</t>
    </r>
  </si>
  <si>
    <r>
      <rPr>
        <u/>
        <sz val="11"/>
        <color rgb="FF1155CC"/>
        <rFont val="Calibri"/>
      </rPr>
      <t>qjrusshiklhk@gmx.com</t>
    </r>
  </si>
  <si>
    <t>La Quinta Inn &amp; Suites by Wyndham Pflugerville</t>
  </si>
  <si>
    <r>
      <rPr>
        <u/>
        <sz val="11"/>
        <color rgb="FF1155CC"/>
        <rFont val="Calibri"/>
      </rPr>
      <t>lessogograxu256@mail.com</t>
    </r>
  </si>
  <si>
    <r>
      <rPr>
        <u/>
        <sz val="11"/>
        <color rgb="FF1155CC"/>
        <rFont val="Calibri"/>
      </rPr>
      <t>ehmrjatg22@gmx.com</t>
    </r>
  </si>
  <si>
    <t>Travelodge by Wyndham Lakeland</t>
  </si>
  <si>
    <r>
      <rPr>
        <u/>
        <sz val="11"/>
        <color rgb="FF1155CC"/>
        <rFont val="Calibri"/>
      </rPr>
      <t>rywfhwtugw731@gmx.com</t>
    </r>
  </si>
  <si>
    <t>Hyatt Regency JFK Airport at Resorts World New York</t>
  </si>
  <si>
    <r>
      <rPr>
        <u/>
        <sz val="11"/>
        <color rgb="FF1155CC"/>
        <rFont val="Calibri"/>
      </rPr>
      <t>phnahih0844@gmx.com</t>
    </r>
  </si>
  <si>
    <r>
      <rPr>
        <u/>
        <sz val="11"/>
        <color rgb="FF1155CC"/>
        <rFont val="Calibri"/>
      </rPr>
      <t>qfcypbemv831@gmx.us</t>
    </r>
  </si>
  <si>
    <r>
      <rPr>
        <u/>
        <sz val="11"/>
        <color rgb="FF1155CC"/>
        <rFont val="Calibri"/>
      </rPr>
      <t>hywbfmeumm@gmx.us</t>
    </r>
  </si>
  <si>
    <t>ficnqdhhotsi@gmx.com</t>
  </si>
  <si>
    <t>DUVhtYYYu</t>
  </si>
  <si>
    <t>gpjkljx03@gmx.com</t>
  </si>
  <si>
    <t>HLoWyxCUD</t>
  </si>
  <si>
    <t>knuneobvrn46yr@gmx.com</t>
  </si>
  <si>
    <t>vAJHxNBHk</t>
  </si>
  <si>
    <t>ezras92kgray@gmx.com</t>
  </si>
  <si>
    <t>r2uBv9446</t>
  </si>
  <si>
    <t>ldgcrtliip08@gmx.com</t>
  </si>
  <si>
    <t>baIMIPHMO</t>
  </si>
  <si>
    <t>parkerfoulksx6lb@gmx.com</t>
  </si>
  <si>
    <t>n970kH1ujL</t>
  </si>
  <si>
    <t>qusbjuzhqqq9@gmx.com</t>
  </si>
  <si>
    <t>RDfiqokvc</t>
  </si>
  <si>
    <t>liammcho5w@gmx.com</t>
  </si>
  <si>
    <t>pkxox5Bel</t>
  </si>
  <si>
    <t>oavxugofyb54@gmx.com</t>
  </si>
  <si>
    <t>lYKfHKrXh</t>
  </si>
  <si>
    <t>karaughclksw@gmx.com</t>
  </si>
  <si>
    <t>Xgjoje978</t>
  </si>
  <si>
    <t>silva6nlame@gmx.com</t>
  </si>
  <si>
    <t>BJjkPg6r8</t>
  </si>
  <si>
    <t>valdak8w@gmx.com</t>
  </si>
  <si>
    <t>QSqQmp4xof</t>
  </si>
  <si>
    <t>gino.deckow12@gmx.com</t>
  </si>
  <si>
    <t>nXruDYDwhZkaX7e</t>
  </si>
  <si>
    <t>rgaird3@gmx.com</t>
  </si>
  <si>
    <t>F1ZN19vH0</t>
  </si>
  <si>
    <t>vxtwykdi28@gmx.com</t>
  </si>
  <si>
    <t>pJqYAheHM</t>
  </si>
  <si>
    <t>emqajoekc@gmx.com</t>
  </si>
  <si>
    <t>ltpdJRpHo</t>
  </si>
  <si>
    <t>anissaphausby@gmx.com</t>
  </si>
  <si>
    <t>w8RplU3A54</t>
  </si>
  <si>
    <t>augustinad8ma@gmx.com</t>
  </si>
  <si>
    <t>n352PNk8</t>
  </si>
  <si>
    <t>nak_span@gmx.com</t>
  </si>
  <si>
    <t>V2fHqRhoAs</t>
  </si>
  <si>
    <t>hrbwddmfgcl@gmx.com</t>
  </si>
  <si>
    <t>mPqJzsjxR</t>
  </si>
  <si>
    <t>esmeralda57@gmx.com</t>
  </si>
  <si>
    <t>G2KlY7JZzO20J</t>
  </si>
  <si>
    <t>nvNMBBCXC</t>
  </si>
  <si>
    <t>rnzjqgy34@gmx.com</t>
  </si>
  <si>
    <t>QCJWEYeHM</t>
  </si>
  <si>
    <t>xtxpyrnihgw@gmx.com</t>
  </si>
  <si>
    <t>SBLyXWyRk</t>
  </si>
  <si>
    <t>frcykyr6292@gmx.com</t>
  </si>
  <si>
    <t>yruXNlrSw</t>
  </si>
  <si>
    <t>jolyngurskejsx@gmx.com</t>
  </si>
  <si>
    <t>Iepi1tE901</t>
  </si>
  <si>
    <t>pgpoxsu4034@gmx.com</t>
  </si>
  <si>
    <t>tUnKLulOT</t>
  </si>
  <si>
    <t>freddawalnvndp@gmx.com</t>
  </si>
  <si>
    <t>Irh2g2xa0</t>
  </si>
  <si>
    <t>leozntorres@gmx.com</t>
  </si>
  <si>
    <t>Emq2095gu</t>
  </si>
  <si>
    <t>oliver4sjxlaw@gmx.com</t>
  </si>
  <si>
    <t>Ap6xAN5zx</t>
  </si>
  <si>
    <t>jvhfbdx452@gmx.com</t>
  </si>
  <si>
    <t>wUjCfpAHG</t>
  </si>
  <si>
    <t>pablo.smith@gmx.com</t>
  </si>
  <si>
    <t>zMnKHYI1J6kwd5fy</t>
  </si>
  <si>
    <t>chandler.breitenberg@gmx.com</t>
  </si>
  <si>
    <t>HhiU7G4TNbOEI2p0</t>
  </si>
  <si>
    <t>tgfqnn0588@gmx.com</t>
  </si>
  <si>
    <t>ymYVxVUYU</t>
  </si>
  <si>
    <t>oclygcwa2@gmx.com</t>
  </si>
  <si>
    <t>XwehroRlY</t>
  </si>
  <si>
    <t>lucasalvr30q@gmx.com</t>
  </si>
  <si>
    <t>kzrMzt278</t>
  </si>
  <si>
    <t>thad.oberbrunner45@gmx.com</t>
  </si>
  <si>
    <t>GCwAWuMfV80sv8</t>
  </si>
  <si>
    <t>mae8skleafe@gmx.com</t>
  </si>
  <si>
    <t>nS67h482Bc</t>
  </si>
  <si>
    <t>ebbxwuv24@gmx.com</t>
  </si>
  <si>
    <t>ueYpyIUGq</t>
  </si>
  <si>
    <t>tospxss6697@gmx.com</t>
  </si>
  <si>
    <t>haXVmUUIE</t>
  </si>
  <si>
    <t>martyfm5gbottom@gmx.com</t>
  </si>
  <si>
    <t>Sinaiq07B</t>
  </si>
  <si>
    <t>adonis.sauer77@gmx.com</t>
  </si>
  <si>
    <t>l7Hp2K1Yuwvus</t>
  </si>
  <si>
    <t>jumuhodnjbod@gmx.com</t>
  </si>
  <si>
    <t>ceXEuyNtz</t>
  </si>
  <si>
    <t>vlypxaeckjn2@gmx.com</t>
  </si>
  <si>
    <t>TJtHvIhte</t>
  </si>
  <si>
    <t>rdiptnhp996@gmx.com</t>
  </si>
  <si>
    <t>xjFaYWNKj</t>
  </si>
  <si>
    <t>sydnie.mraz@gmx.com</t>
  </si>
  <si>
    <t>yjNIv63NXN9Sz</t>
  </si>
  <si>
    <t>jskfea7981@gmx.com</t>
  </si>
  <si>
    <t>iEaAIFPOk</t>
  </si>
  <si>
    <t>ovqnnlzdia67@gmx.com</t>
  </si>
  <si>
    <t>TIHwRdByA</t>
  </si>
  <si>
    <t>eliascookx5@gmx.com</t>
  </si>
  <si>
    <t>Ji3urq0w679</t>
  </si>
  <si>
    <t>levivtsa@gmx.com</t>
  </si>
  <si>
    <t>qy8ak34pPg</t>
  </si>
  <si>
    <t>wrxkrhrzez5@gmx.com</t>
  </si>
  <si>
    <t>YZiErhzHi</t>
  </si>
  <si>
    <t>qloinnl557@gmx.com</t>
  </si>
  <si>
    <t>ojZrbtlDT</t>
  </si>
  <si>
    <t>iiuskbyuqo2@gmx.com</t>
  </si>
  <si>
    <t>rHVtdBwsa</t>
  </si>
  <si>
    <t>julian6o69ste@gmx.com</t>
  </si>
  <si>
    <t>kPor24xfqz</t>
  </si>
  <si>
    <t>pkegxquygi9@gmx.com</t>
  </si>
  <si>
    <t>RQqxcDgIl</t>
  </si>
  <si>
    <t>xpzaavdym60it@gmx.com</t>
  </si>
  <si>
    <t>aGAHPjWEK</t>
  </si>
  <si>
    <t>xsckmn095@gmx.com</t>
  </si>
  <si>
    <t>brZMHqYaB</t>
  </si>
  <si>
    <t>zopspwmqa@gmx.com</t>
  </si>
  <si>
    <t>ysICyuSmp</t>
  </si>
  <si>
    <t>mateofisherqh@gmx.com</t>
  </si>
  <si>
    <t>g14hzyT4</t>
  </si>
  <si>
    <t>eqgvhmuvgt88@gmx.com</t>
  </si>
  <si>
    <t>pvgSpeTHu</t>
  </si>
  <si>
    <t>wedevwrhvkgk@gmx.com</t>
  </si>
  <si>
    <t>LBhMNUMfD</t>
  </si>
  <si>
    <t>sherman_jacobson4@gmx.com</t>
  </si>
  <si>
    <t>qJ9fuUIUJKihTY</t>
  </si>
  <si>
    <t>fernando45@gmx.com</t>
  </si>
  <si>
    <t>xeKxCJNHfWCtK8E</t>
  </si>
  <si>
    <t>marcus_baumbach31@gmx.com</t>
  </si>
  <si>
    <t>KYuNm3lDeGhWs</t>
  </si>
  <si>
    <t>ljuyejdldoc@gmx.com</t>
  </si>
  <si>
    <t>ksbFOklGL</t>
  </si>
  <si>
    <t>bpbjhqfownz@gmx.com</t>
  </si>
  <si>
    <t>aAzKMiaYn</t>
  </si>
  <si>
    <t>fnpbgpxjuo38@gmx.com</t>
  </si>
  <si>
    <t>banYFNLti</t>
  </si>
  <si>
    <t>rxchzm155@gmx.com</t>
  </si>
  <si>
    <t>PBpIIuyki</t>
  </si>
  <si>
    <t>olivercoopervi@gmx.com</t>
  </si>
  <si>
    <t>pfbj70oLoa</t>
  </si>
  <si>
    <t>xasyejhsw@gmx.com</t>
  </si>
  <si>
    <t>ElKiDnUxM</t>
  </si>
  <si>
    <t>mirnase567@gmx.com</t>
  </si>
  <si>
    <t>ko1B5GHJjt</t>
  </si>
  <si>
    <t>bellegn2@gmx.com</t>
  </si>
  <si>
    <t>nk70928M6</t>
  </si>
  <si>
    <t>salalkinr@gmx.com</t>
  </si>
  <si>
    <t>scOlu19ir9</t>
  </si>
  <si>
    <t>lgswmaxu8@gmx.com</t>
  </si>
  <si>
    <t>vwqsxoOed</t>
  </si>
  <si>
    <t>juliank823wagner@gmx.com</t>
  </si>
  <si>
    <t>VaywryLd6</t>
  </si>
  <si>
    <t>jackolsonth15@gmx.com</t>
  </si>
  <si>
    <t>Okn6r3SNP</t>
  </si>
  <si>
    <t>favziilfdp@gmx.com</t>
  </si>
  <si>
    <t>aGDmisrcc</t>
  </si>
  <si>
    <t>zohophfq5451@gmx.com</t>
  </si>
  <si>
    <t>QOMaPssWw</t>
  </si>
  <si>
    <t>sydnee_bernier@gmx.com</t>
  </si>
  <si>
    <t>EJM8eUJgwF7fKo</t>
  </si>
  <si>
    <t>alaina_schumm@gmx.com</t>
  </si>
  <si>
    <t>t4aoIwhItJxsI</t>
  </si>
  <si>
    <t>issac.wyman38@gmx.com</t>
  </si>
  <si>
    <t>KPjamNM07GL8h</t>
  </si>
  <si>
    <t>qdobt7313@gmx.com</t>
  </si>
  <si>
    <t>gcrztgTzp</t>
  </si>
  <si>
    <t>aluarlufh96@gmx.com</t>
  </si>
  <si>
    <t>PbRNxhEcg</t>
  </si>
  <si>
    <t>lenna_nolan35@gmx.com</t>
  </si>
  <si>
    <t>ZxTeZYnMvpl5w3Y</t>
  </si>
  <si>
    <t>wanda_cassin@gmx.com</t>
  </si>
  <si>
    <t>5mU6PQ4NK8tofo</t>
  </si>
  <si>
    <t>arnaldo54@gmx.com</t>
  </si>
  <si>
    <t>dC3qOJ42tkrEkz</t>
  </si>
  <si>
    <t>gfpfavtew352@gmx.com</t>
  </si>
  <si>
    <t>lsKlQNyXg</t>
  </si>
  <si>
    <t>elijahre1ma@gmx.com</t>
  </si>
  <si>
    <t>pQ22eh5wer</t>
  </si>
  <si>
    <t>johnraysra@gmx.com</t>
  </si>
  <si>
    <t>s5fbaKbxuv</t>
  </si>
  <si>
    <t>philip.white78@gmx.com</t>
  </si>
  <si>
    <t>SfLNwG0aAGtMVO</t>
  </si>
  <si>
    <t>sylvia0@gmx.com</t>
  </si>
  <si>
    <t>Aaa307pyorrcJrP</t>
  </si>
  <si>
    <t>leviortega620@gmx.com</t>
  </si>
  <si>
    <t>ngS48REbzK</t>
  </si>
  <si>
    <t>opnotiqo660@gmx.com</t>
  </si>
  <si>
    <t>gHgPEsnHQ</t>
  </si>
  <si>
    <t>mkmzju014@gmx.com</t>
  </si>
  <si>
    <t>ZsqLkDcwa</t>
  </si>
  <si>
    <t>uehpxzda324@gmx.com</t>
  </si>
  <si>
    <t>DgAnfXhVM</t>
  </si>
  <si>
    <t>jacobpatelbm@gmx.com</t>
  </si>
  <si>
    <t>vRKrpk9a</t>
  </si>
  <si>
    <t>asherzpumga@gmx.com</t>
  </si>
  <si>
    <t>fcoX96afJv</t>
  </si>
  <si>
    <t>xmjtjknewv16@gmx.com</t>
  </si>
  <si>
    <t>JXAoRvExG</t>
  </si>
  <si>
    <t>qeioyrwol8@gmx.com</t>
  </si>
  <si>
    <t>ItywcViaT</t>
  </si>
  <si>
    <t>buster95@gmx.com</t>
  </si>
  <si>
    <t>sfwJyqyuqe8LMc</t>
  </si>
  <si>
    <t>jacobskf7q@gmx.com</t>
  </si>
  <si>
    <t>i5Av26F1</t>
  </si>
  <si>
    <t>lqbmcuqx74@gmx.com</t>
  </si>
  <si>
    <t>keATvxSBM</t>
  </si>
  <si>
    <t>rgzgjo164@gmx.com</t>
  </si>
  <si>
    <t>VBeEaUPDQ</t>
  </si>
  <si>
    <t>iggysj4181@gmx.com</t>
  </si>
  <si>
    <t>EUnGlHhfg</t>
  </si>
  <si>
    <t>zwlxmdcj9@gmx.com</t>
  </si>
  <si>
    <t>HaelhiNJw</t>
  </si>
  <si>
    <t>greer713tasson@gmx.com</t>
  </si>
  <si>
    <t>p3u5GrsfzQ</t>
  </si>
  <si>
    <t>danielyq4yford@gmx.com</t>
  </si>
  <si>
    <t>D5iOVaobQ</t>
  </si>
  <si>
    <t>lvacotizlddm@gmx.com</t>
  </si>
  <si>
    <t>miABVoxVx</t>
  </si>
  <si>
    <t>HWPDnuOfl</t>
  </si>
  <si>
    <t>ksactzszjd85@gmx.com</t>
  </si>
  <si>
    <t>WmGLivlPb</t>
  </si>
  <si>
    <t>dylanyareed@gmx.com</t>
  </si>
  <si>
    <t>u7U0EeAjb</t>
  </si>
  <si>
    <t>ugulmjudup37@gmx.com</t>
  </si>
  <si>
    <t>LIKxVyDZl</t>
  </si>
  <si>
    <t>alaynanorlxi@gmx.com</t>
  </si>
  <si>
    <t>g6qtxkIpM5</t>
  </si>
  <si>
    <t>jkwespidel@gmx.com</t>
  </si>
  <si>
    <t>l4fpJv722a5</t>
  </si>
  <si>
    <t>gwzppaofz135@gmx.com</t>
  </si>
  <si>
    <t>wXGOzZICf</t>
  </si>
  <si>
    <t>delkcsaha819@gmx.com</t>
  </si>
  <si>
    <t>kGqoUZNMd</t>
  </si>
  <si>
    <t>nxdhhhcr685@gmx.com</t>
  </si>
  <si>
    <t>soVWONRoA</t>
  </si>
  <si>
    <t>ydlzuek94@gmx.com</t>
  </si>
  <si>
    <t>dvFrrOEaG</t>
  </si>
  <si>
    <t>srfsmuxikbc1@gmx.com</t>
  </si>
  <si>
    <t>EEWEDoLyx</t>
  </si>
  <si>
    <t>ahrxadcit7@gmx.com</t>
  </si>
  <si>
    <t>YaqIxAcSE</t>
  </si>
  <si>
    <t>norris_heaney@gmx.com</t>
  </si>
  <si>
    <t>8gRsKxO6Uqa4CYAA</t>
  </si>
  <si>
    <t>fjeuebj589@gmx.com</t>
  </si>
  <si>
    <t>ShbBJgrxF</t>
  </si>
  <si>
    <t>mqgmarley@gmx.com</t>
  </si>
  <si>
    <t>T4pvrNcAvh</t>
  </si>
  <si>
    <t>xmovdegmci6@gmx.com</t>
  </si>
  <si>
    <t>YOEcSaQyO</t>
  </si>
  <si>
    <t>ivjshndjk@gmx.com</t>
  </si>
  <si>
    <t>PZZMDzWFS</t>
  </si>
  <si>
    <t>arawpulawu89@gmx.com</t>
  </si>
  <si>
    <t>GGvgaPMuU</t>
  </si>
  <si>
    <t>gmuxsih71@gmx.com</t>
  </si>
  <si>
    <t>XamtwYxvN</t>
  </si>
  <si>
    <t>ycgsdamde@gmx.com</t>
  </si>
  <si>
    <t>eoQINBzOS</t>
  </si>
  <si>
    <t>somskvdf9285@gmx.com</t>
  </si>
  <si>
    <t>PpBrdoaQD</t>
  </si>
  <si>
    <t>aimee_jacobi@gmx.com</t>
  </si>
  <si>
    <t>hAsLQErBoPTr</t>
  </si>
  <si>
    <t>juanita_mcdermott47@gmx.com</t>
  </si>
  <si>
    <t>KAFMfLPyhpbTyHb</t>
  </si>
  <si>
    <t>johngrim7@gmx.com</t>
  </si>
  <si>
    <t>XdnaV4vIs</t>
  </si>
  <si>
    <t>mtkwnd093@gmx.com</t>
  </si>
  <si>
    <t>bEUMfekXX</t>
  </si>
  <si>
    <t>annette.braun@gmx.com</t>
  </si>
  <si>
    <t>iJEKrjuqzAEPgWgl</t>
  </si>
  <si>
    <t>bvn31aletha@gmx.com</t>
  </si>
  <si>
    <t>dfHWR6odmd</t>
  </si>
  <si>
    <t>deonneve5rd5@gmx.com</t>
  </si>
  <si>
    <t>uz198xBB</t>
  </si>
  <si>
    <t>dorothy_ullrich2@gmx.com</t>
  </si>
  <si>
    <t>KqCajGNqSqmfZ</t>
  </si>
  <si>
    <t>XJuGoZjxR</t>
  </si>
  <si>
    <t>kknevdop73@gmx.com</t>
  </si>
  <si>
    <t>zBaAxcDul</t>
  </si>
  <si>
    <t>ofkjbbiztdt2@gmx.com</t>
  </si>
  <si>
    <t>lOmiMQpnq</t>
  </si>
  <si>
    <t>tdffcurkex86@gmx.com</t>
  </si>
  <si>
    <t>eXqQcuvAz</t>
  </si>
  <si>
    <t>hdzczbcvq@gmx.com</t>
  </si>
  <si>
    <t>mZJFgtfhP</t>
  </si>
  <si>
    <t>owencruzuy@gmx.com</t>
  </si>
  <si>
    <t>J1XAkrPyp</t>
  </si>
  <si>
    <t>zzineiog099@gmx.com</t>
  </si>
  <si>
    <t>EFeWhhpqs</t>
  </si>
  <si>
    <t>fqsawwpwjl61@gmx.com</t>
  </si>
  <si>
    <t>NAhnfiLyN</t>
  </si>
  <si>
    <t>fcuqmmkux988@gmx.com</t>
  </si>
  <si>
    <t>zafbkIobU</t>
  </si>
  <si>
    <t>OFleqtHkM</t>
  </si>
  <si>
    <t>kennedi_schroeder@gmx.com</t>
  </si>
  <si>
    <t>KHfT20nCdM0DE</t>
  </si>
  <si>
    <t>isbzhmg8694@gmx.com</t>
  </si>
  <si>
    <t>zNuXLaaDA</t>
  </si>
  <si>
    <t>billieesqxr93@gmx.com</t>
  </si>
  <si>
    <t>K9CSHe88</t>
  </si>
  <si>
    <t>juliansantos9fyl@gmx.com</t>
  </si>
  <si>
    <t>rah5lsv82N</t>
  </si>
  <si>
    <t>sdhanfqfmpr3@gmx.com</t>
  </si>
  <si>
    <t>KQarainmn</t>
  </si>
  <si>
    <t>szmrquohovar@gmx.com</t>
  </si>
  <si>
    <t>KxLKflySM</t>
  </si>
  <si>
    <t>jayden7dubra@gmx.com</t>
  </si>
  <si>
    <t>cWq6lQsyp</t>
  </si>
  <si>
    <t>usxdmajidnye@gmx.com</t>
  </si>
  <si>
    <t>AjpdETPoD</t>
  </si>
  <si>
    <t>henrygonsrcg@gmx.com</t>
  </si>
  <si>
    <t>xcG4HAyu</t>
  </si>
  <si>
    <t>ulldqreuxk07@gmx.com</t>
  </si>
  <si>
    <t>TkiNjWaLG</t>
  </si>
  <si>
    <t>horacio_cremin@gmx.com</t>
  </si>
  <si>
    <t>jtnzzzATng8YQXH</t>
  </si>
  <si>
    <t>mat1xseporter@gmx.com</t>
  </si>
  <si>
    <t>owL5tuo0y</t>
  </si>
  <si>
    <t>avhktihhkt3@gmx.com</t>
  </si>
  <si>
    <t>MBDAswlrR</t>
  </si>
  <si>
    <t>eliasgranto0@gmx.com</t>
  </si>
  <si>
    <t>m3dBowd5a</t>
  </si>
  <si>
    <t>patsy20pshe@gmx.com</t>
  </si>
  <si>
    <t>Odrhcc1tR</t>
  </si>
  <si>
    <t>melqw5stumb@gmx.com</t>
  </si>
  <si>
    <t>Gjkya0Bf</t>
  </si>
  <si>
    <t>zifmxrlfk@gmx.com</t>
  </si>
  <si>
    <t>NwsIvlsEf</t>
  </si>
  <si>
    <t>dqmyiuya31@gmx.com</t>
  </si>
  <si>
    <t>tvjBUpqvD</t>
  </si>
  <si>
    <t>flossie.armstrong38@gmx.com</t>
  </si>
  <si>
    <t>S4cAeIqNrF2K</t>
  </si>
  <si>
    <t>gabqtgecarter@gmx.com</t>
  </si>
  <si>
    <t>jh513f3JL</t>
  </si>
  <si>
    <t>musxkvvjhe@gmx.com</t>
  </si>
  <si>
    <t>BEcTYxgTn</t>
  </si>
  <si>
    <t>nfmlbhcjfru@gmx.com</t>
  </si>
  <si>
    <t>dBjvHJdup</t>
  </si>
  <si>
    <t>licxg5378@gmx.com</t>
  </si>
  <si>
    <t>sjCZklZmQ</t>
  </si>
  <si>
    <t>rgsinhni635@gmx.com</t>
  </si>
  <si>
    <t>wNlHpWGur</t>
  </si>
  <si>
    <t>vella.schultz34@gmx.com</t>
  </si>
  <si>
    <t>mNIAmT6npO9Wi</t>
  </si>
  <si>
    <t>qhfbsxbmh943@gmx.com</t>
  </si>
  <si>
    <t>qvryYLUVh</t>
  </si>
  <si>
    <t>liam26acooper@gmx.com</t>
  </si>
  <si>
    <t>Q65iy723i</t>
  </si>
  <si>
    <t>oipbblod1704@gmx.com</t>
  </si>
  <si>
    <t>vjShMZGGs</t>
  </si>
  <si>
    <t>leoprice1j9p@gmx.com</t>
  </si>
  <si>
    <t>W8SnlkflhP</t>
  </si>
  <si>
    <t>stacy_wiza78@gmx.com</t>
  </si>
  <si>
    <t>hAeUfBkxuDkDER</t>
  </si>
  <si>
    <t>clifton.koepp@gmx.com</t>
  </si>
  <si>
    <t>zFvJmVH12NKgSj</t>
  </si>
  <si>
    <t>njjafuclkd11@gmx.com</t>
  </si>
  <si>
    <t>ikcwFYgwC</t>
  </si>
  <si>
    <t>brandyn.bruen96@gmx.com</t>
  </si>
  <si>
    <t>NN9xMOEVFlelNCEK</t>
  </si>
  <si>
    <t>mpcxib4227@gmx.com</t>
  </si>
  <si>
    <t>xVLFITDVM</t>
  </si>
  <si>
    <t>eihftic59@gmx.com</t>
  </si>
  <si>
    <t>feCHzIYVU</t>
  </si>
  <si>
    <t>fjajizxt087@gmx.com</t>
  </si>
  <si>
    <t>sAojEbIJe</t>
  </si>
  <si>
    <t>rarjzczsrkj3@gmx.com</t>
  </si>
  <si>
    <t>QYZSCmRno</t>
  </si>
  <si>
    <t>gcvhjeyuw96xt@gmx.com</t>
  </si>
  <si>
    <t>FCBdHaOys</t>
  </si>
  <si>
    <t>dcolve873@gmx.com</t>
  </si>
  <si>
    <t>yHLEjscei</t>
  </si>
  <si>
    <t>hudsont10r@gmx.com</t>
  </si>
  <si>
    <t>b3iycsKu4</t>
  </si>
  <si>
    <t>voafquy299@gmx.com</t>
  </si>
  <si>
    <t>VEcnzOjLp</t>
  </si>
  <si>
    <t>schirm2qkolby@gmx.com</t>
  </si>
  <si>
    <t>je9suYPx6T</t>
  </si>
  <si>
    <t>knftresca@gmx.com</t>
  </si>
  <si>
    <t>a0924u1L3</t>
  </si>
  <si>
    <t>whsryjak4728@gmx.com</t>
  </si>
  <si>
    <t>PmZueRxfF</t>
  </si>
  <si>
    <t>ukvqxhwkhpx@gmx.com</t>
  </si>
  <si>
    <t>yCOndXddJ</t>
  </si>
  <si>
    <t>mateonunezvbgp@gmx.com</t>
  </si>
  <si>
    <t>d3abyG2kO</t>
  </si>
  <si>
    <t>jamar61@gmx.com</t>
  </si>
  <si>
    <t>Moq4l0Fco8fAH</t>
  </si>
  <si>
    <t>ezqsrczffgtj@gmx.com</t>
  </si>
  <si>
    <t>siTOyNErQ</t>
  </si>
  <si>
    <t>DrCZhxDPn</t>
  </si>
  <si>
    <t>carter8xhjhoward@gmx.com</t>
  </si>
  <si>
    <t>BQiu5v6m</t>
  </si>
  <si>
    <t>waqwwjwgk4@gmx.com</t>
  </si>
  <si>
    <t>BboRtXBVO</t>
  </si>
  <si>
    <t>jose.kunze@gmx.com</t>
  </si>
  <si>
    <t>wZavxEm81BXK3g3H</t>
  </si>
  <si>
    <t>woopavnxdv23@gmx.com</t>
  </si>
  <si>
    <t>qdlumCdbq</t>
  </si>
  <si>
    <t>evangelineb0nesha@gmx.com</t>
  </si>
  <si>
    <t>j86t9bI2l1</t>
  </si>
  <si>
    <t>txwrxmu044@gmx.com</t>
  </si>
  <si>
    <t>nndTtrXAb</t>
  </si>
  <si>
    <t>KwPdogXgy</t>
  </si>
  <si>
    <t>gaynellea4zfv@gmx.com</t>
  </si>
  <si>
    <t>mH5wxfm8</t>
  </si>
  <si>
    <t>lka65munoz@gmx.com</t>
  </si>
  <si>
    <t>n7vf1C6A3</t>
  </si>
  <si>
    <t>iyhwzihkur0@gmx.com</t>
  </si>
  <si>
    <t>fJQpLJpnA</t>
  </si>
  <si>
    <t>zackery78@gmx.com</t>
  </si>
  <si>
    <t>xgZyPAtde17A5</t>
  </si>
  <si>
    <t>ivzpssuaa99vg@gmx.com</t>
  </si>
  <si>
    <t>CZdiQEHqa</t>
  </si>
  <si>
    <t>anglealalatasr@gmx.com</t>
  </si>
  <si>
    <t>ztZ4h0co</t>
  </si>
  <si>
    <t>asnzbmhej368@gmx.com</t>
  </si>
  <si>
    <t>NBEEJMYmy</t>
  </si>
  <si>
    <t>kcyfigfdj5@gmx.com</t>
  </si>
  <si>
    <t>JYyZztZnT</t>
  </si>
  <si>
    <t>theweavery3@gmx.com</t>
  </si>
  <si>
    <t>quSb0031yq</t>
  </si>
  <si>
    <t>lorna48qxw@gmx.com</t>
  </si>
  <si>
    <t>r4k61qlT</t>
  </si>
  <si>
    <t>floyd.hand@gmx.com</t>
  </si>
  <si>
    <t>nHyTT6mQxWhf6Z</t>
  </si>
  <si>
    <t>jamey18@gmx.com</t>
  </si>
  <si>
    <t>MMOuLOdZfK3E3h8</t>
  </si>
  <si>
    <t>mtngylra3@gmx.com</t>
  </si>
  <si>
    <t>YxrjLBvCp</t>
  </si>
  <si>
    <t>daniel5y8watson@gmx.com</t>
  </si>
  <si>
    <t>BUqEsy4Zt5</t>
  </si>
  <si>
    <t>armidagnelme@gmx.com</t>
  </si>
  <si>
    <t>Ibk3C3S5</t>
  </si>
  <si>
    <t>jxkasig4806@gmx.com</t>
  </si>
  <si>
    <t>PbJRmAVVO</t>
  </si>
  <si>
    <t>elijahsansqzn@gmx.com</t>
  </si>
  <si>
    <t>MnUd6xzrdy</t>
  </si>
  <si>
    <t>emkikgtz58@gmx.com</t>
  </si>
  <si>
    <t>dhOiijzKS</t>
  </si>
  <si>
    <t>kizbxvih3@gmx.com</t>
  </si>
  <si>
    <t>ULcTGUFvf</t>
  </si>
  <si>
    <t>violawinti97@gmx.com</t>
  </si>
  <si>
    <t>FM53qx53ln</t>
  </si>
  <si>
    <t>unetiocah057@gmx.com</t>
  </si>
  <si>
    <t>IKiFQPBdm</t>
  </si>
  <si>
    <t>shavonnetam0r@gmx.com</t>
  </si>
  <si>
    <t>m16wH5FyJ</t>
  </si>
  <si>
    <t>elijahpena3uz6@gmx.com</t>
  </si>
  <si>
    <t>io4bq2cJ</t>
  </si>
  <si>
    <t>wrytqf0285@gmx.com</t>
  </si>
  <si>
    <t>ACUFzvLGX</t>
  </si>
  <si>
    <t>ofmzupsqx13@gmx.com</t>
  </si>
  <si>
    <t>fFWqXLSRg</t>
  </si>
  <si>
    <t>ru7pxalert@gmx.com</t>
  </si>
  <si>
    <t>pcybJf4bl</t>
  </si>
  <si>
    <t>gnmcccfucn38ls@gmx.com</t>
  </si>
  <si>
    <t>iBRPJAXiV</t>
  </si>
  <si>
    <t>keomcwzja7@gmx.com</t>
  </si>
  <si>
    <t>DVmrAMaXV</t>
  </si>
  <si>
    <t>mkmvnwiwwr@gmx.com</t>
  </si>
  <si>
    <t>IqyTdBkYu</t>
  </si>
  <si>
    <t>crcdqywx0444@gmx.com</t>
  </si>
  <si>
    <t>jFBTREMuL</t>
  </si>
  <si>
    <t>jacobmat5jc@gmx.com</t>
  </si>
  <si>
    <t>BeK4d702G</t>
  </si>
  <si>
    <t>dpzeuubsk100@gmx.com</t>
  </si>
  <si>
    <t>qIjDOsaZU</t>
  </si>
  <si>
    <t>fern.harvey@gmx.com</t>
  </si>
  <si>
    <t>VOkeLSh65554</t>
  </si>
  <si>
    <t>rashawn10@gmx.com</t>
  </si>
  <si>
    <t>fOhQnO1rL7UpZd</t>
  </si>
  <si>
    <t>phoebe18@gmx.com</t>
  </si>
  <si>
    <t>Cwgqwr5g92AxCm</t>
  </si>
  <si>
    <t>czoyjdc754@gmx.com</t>
  </si>
  <si>
    <t>riqxSczgz</t>
  </si>
  <si>
    <t>gwynw8ub@gmx.com</t>
  </si>
  <si>
    <t>u203f5Rj</t>
  </si>
  <si>
    <t>vhalfupftzki@gmx.com</t>
  </si>
  <si>
    <t>ZQXyrHZPk</t>
  </si>
  <si>
    <t>kqrljyvcd641@gmx.com</t>
  </si>
  <si>
    <t>wWRiwGySf</t>
  </si>
  <si>
    <t>xrahy2729@gmx.com</t>
  </si>
  <si>
    <t>lpEidUHYE</t>
  </si>
  <si>
    <t>tediubqq005@gmx.com</t>
  </si>
  <si>
    <t>bLHHgVpMl</t>
  </si>
  <si>
    <t>benjyq2nganz@gmx.com</t>
  </si>
  <si>
    <t>s2heO42z</t>
  </si>
  <si>
    <t>elleryfj6wkak@gmx.com</t>
  </si>
  <si>
    <t>a8reyuCd</t>
  </si>
  <si>
    <t>nciktkaxu822@gmx.com</t>
  </si>
  <si>
    <t>XPEnKKbdm</t>
  </si>
  <si>
    <t>jennings.bernier55@gmx.com</t>
  </si>
  <si>
    <t>bhOY5IMtJloB1S7f</t>
  </si>
  <si>
    <t>ericav0lsromie@gmx.com</t>
  </si>
  <si>
    <t>kx13t88PLm</t>
  </si>
  <si>
    <t>jack17fox@gmx.com</t>
  </si>
  <si>
    <t>i055fbCeY</t>
  </si>
  <si>
    <t>elainegehrl6b9@gmx.com</t>
  </si>
  <si>
    <t>WDtz5kniD</t>
  </si>
  <si>
    <t>johnslb8mi@gmx.com</t>
  </si>
  <si>
    <t>aW5e9h23x</t>
  </si>
  <si>
    <t>dvrltxk77@gmx.com</t>
  </si>
  <si>
    <t>cIsEomkFV</t>
  </si>
  <si>
    <t>charlesedw88@gmx.com</t>
  </si>
  <si>
    <t>zmjd16gK2</t>
  </si>
  <si>
    <t>wcqtxowxkp@gmx.com</t>
  </si>
  <si>
    <t>TgXiBeLVN</t>
  </si>
  <si>
    <t>herminio20@gmx.com</t>
  </si>
  <si>
    <t>oklINUyDtF3V</t>
  </si>
  <si>
    <t>miq1zmeyer@gmx.com</t>
  </si>
  <si>
    <t>besnu9Uh3z</t>
  </si>
  <si>
    <t>dubyhicpt433@gmx.com</t>
  </si>
  <si>
    <t>JgjajXQLD</t>
  </si>
  <si>
    <t>leviortiz9g@gmx.com</t>
  </si>
  <si>
    <t>drO47oRHN7</t>
  </si>
  <si>
    <t>terrence40@gmx.com</t>
  </si>
  <si>
    <t>5Ds9YMjASYqzm</t>
  </si>
  <si>
    <t>qfgopfv4214@gmx.com</t>
  </si>
  <si>
    <t>honOzXJHX</t>
  </si>
  <si>
    <t>dydogigi458@gmx.com</t>
  </si>
  <si>
    <t>MHSwoVPKD</t>
  </si>
  <si>
    <t>puiuAQxYN</t>
  </si>
  <si>
    <t>kuwrzoym468@gmx.com</t>
  </si>
  <si>
    <t>OfZXGarjX</t>
  </si>
  <si>
    <t>dtzvdqavtxt@gmx.com</t>
  </si>
  <si>
    <t>nmBfqwXPv</t>
  </si>
  <si>
    <t>isaac6xpr@gmx.com</t>
  </si>
  <si>
    <t>gb7Ryas435</t>
  </si>
  <si>
    <t>noahboydpp@gmx.com</t>
  </si>
  <si>
    <t>ri7g1QxzWR</t>
  </si>
  <si>
    <t>bsrlc0526@gmx.com</t>
  </si>
  <si>
    <t>amxGWyaEY</t>
  </si>
  <si>
    <t>ylidobwxpg1@gmx.com</t>
  </si>
  <si>
    <t>aNZXCCIXH</t>
  </si>
  <si>
    <t>monserrat.yundt39@gmx.com</t>
  </si>
  <si>
    <t>VLs5cBfcmFHmkNk</t>
  </si>
  <si>
    <t>cvfgzbz084@gmx.com</t>
  </si>
  <si>
    <t>XlDXNzxAU</t>
  </si>
  <si>
    <t>rtdtymhorspb@gmx.com</t>
  </si>
  <si>
    <t>wqqhJzVRM</t>
  </si>
  <si>
    <t>jhunterkak7@gmx.com</t>
  </si>
  <si>
    <t>Ftes11wk2k4</t>
  </si>
  <si>
    <t>adan30@gmx.com</t>
  </si>
  <si>
    <t>I7EAdEeqNemGtuaT</t>
  </si>
  <si>
    <t>nx2bgriffy@gmx.com</t>
  </si>
  <si>
    <t>pIrd5805V3</t>
  </si>
  <si>
    <t>wxdcurk64@gmx.com</t>
  </si>
  <si>
    <t>RJKvGmnuA</t>
  </si>
  <si>
    <t>qqtgbtwp5xh@gmx.com</t>
  </si>
  <si>
    <t>XYUnGbBgX</t>
  </si>
  <si>
    <t>yiwejvics218@gmx.com</t>
  </si>
  <si>
    <t>xjbEWxPxM</t>
  </si>
  <si>
    <t>marvisfh6rk@gmx.com</t>
  </si>
  <si>
    <t>X46Mr91M</t>
  </si>
  <si>
    <t>bonitabsm@gmx.com</t>
  </si>
  <si>
    <t>fu44JnDbbB</t>
  </si>
  <si>
    <t>alyssiaonclwo@gmx.com</t>
  </si>
  <si>
    <t>CuuJC1g0</t>
  </si>
  <si>
    <t>ryualvvxeg49@gmx.com</t>
  </si>
  <si>
    <t>YeWbWeNvs</t>
  </si>
  <si>
    <t>adrain50@gmx.com</t>
  </si>
  <si>
    <t>oKIMhQPsZSh6Zy</t>
  </si>
  <si>
    <t>lucy45@gmx.com</t>
  </si>
  <si>
    <t>upGwDwKlpBwpHY7z</t>
  </si>
  <si>
    <t>rbypm3406@gmx.com</t>
  </si>
  <si>
    <t>ffnvwQrid</t>
  </si>
  <si>
    <t>henrytlst@gmx.com</t>
  </si>
  <si>
    <t>tV01dnnw12</t>
  </si>
  <si>
    <t>ghicksl1y@gmx.com</t>
  </si>
  <si>
    <t>t7Wqkqc4z</t>
  </si>
  <si>
    <t>amara.stokes64@gmx.com</t>
  </si>
  <si>
    <t>Qh3NDgBEPSJKg6</t>
  </si>
  <si>
    <t>ydopye528@gmx.com</t>
  </si>
  <si>
    <t>zeJeKKtyP</t>
  </si>
  <si>
    <t>hudson915baker@gmx.com</t>
  </si>
  <si>
    <t>mp1RTzjWM</t>
  </si>
  <si>
    <t>ugmhnhge4@gmx.com</t>
  </si>
  <si>
    <t>NzuGQGUDD</t>
  </si>
  <si>
    <t>liwauui0133@gmx.com</t>
  </si>
  <si>
    <t>cAMxWamAI</t>
  </si>
  <si>
    <t>vhmfush2450@gmx.com</t>
  </si>
  <si>
    <t>vekVZCBIW</t>
  </si>
  <si>
    <t>hfemwvgy829@gmx.com</t>
  </si>
  <si>
    <t>wxAeXIEua</t>
  </si>
  <si>
    <t>donghp2@gmx.com</t>
  </si>
  <si>
    <t>om9lY426v</t>
  </si>
  <si>
    <t>asdmipna03iu@gmx.com</t>
  </si>
  <si>
    <t>EupyuoIOe</t>
  </si>
  <si>
    <t>klqifxmt6@gmx.com</t>
  </si>
  <si>
    <t>qlYEyvRNL</t>
  </si>
  <si>
    <t>fqogahGer</t>
  </si>
  <si>
    <t>ypplrru7959@gmx.com</t>
  </si>
  <si>
    <t>Qinulqpfc</t>
  </si>
  <si>
    <t>hollicaylorsoa@gmx.com</t>
  </si>
  <si>
    <t>ptxMty57R</t>
  </si>
  <si>
    <t>mqhhpcgfym@gmx.com</t>
  </si>
  <si>
    <t>svmgBhLLR</t>
  </si>
  <si>
    <t>david4skduncan@gmx.com</t>
  </si>
  <si>
    <t>S7k5QdLE</t>
  </si>
  <si>
    <t>zqhfvutil@gmx.com</t>
  </si>
  <si>
    <t>JKDxRyNGt</t>
  </si>
  <si>
    <t>bfpcidcjh664@gmx.com</t>
  </si>
  <si>
    <t>LUMpbdVqk</t>
  </si>
  <si>
    <t>kameron.vandervort24@gmx.com</t>
  </si>
  <si>
    <t>uDKcGkYk0mAakn7</t>
  </si>
  <si>
    <t>david91sa@gmx.com</t>
  </si>
  <si>
    <t>cDtm3deM</t>
  </si>
  <si>
    <t>zhiqsxpxs405@gmx.com</t>
  </si>
  <si>
    <t>ImEPuZMMT</t>
  </si>
  <si>
    <t>tkqacrohz4@gmx.com</t>
  </si>
  <si>
    <t>xbSEyiZMF</t>
  </si>
  <si>
    <t>mateoxykqedw@gmx.com</t>
  </si>
  <si>
    <t>k6t2nVja9</t>
  </si>
  <si>
    <t>btddusnabl84@gmx.com</t>
  </si>
  <si>
    <t>WLygkcIAS</t>
  </si>
  <si>
    <t>gklradvg4515@gmx.com</t>
  </si>
  <si>
    <t>aLVIsJsOl</t>
  </si>
  <si>
    <t>ylibhdry147@gmx.com</t>
  </si>
  <si>
    <t>BGPvDChhw</t>
  </si>
  <si>
    <t>holdenbxbv@gmx.com</t>
  </si>
  <si>
    <t>ZYzDt24YX5</t>
  </si>
  <si>
    <t>edyth_gibson@gmx.com</t>
  </si>
  <si>
    <t>c1EGbzQd3ylpSd0</t>
  </si>
  <si>
    <t>cordell.gulgowski31@gmx.com</t>
  </si>
  <si>
    <t>RkeIFxwHg857n2Z</t>
  </si>
  <si>
    <t>pzvlzv7461@gmx.com</t>
  </si>
  <si>
    <t>heJuQUIsB</t>
  </si>
  <si>
    <t>yandfisg73@gmx.com</t>
  </si>
  <si>
    <t>aPUdnEeom</t>
  </si>
  <si>
    <t>anselmstrriw@gmx.com</t>
  </si>
  <si>
    <t>IO7F7swK</t>
  </si>
  <si>
    <t>oebgkrtuh415@gmx.com</t>
  </si>
  <si>
    <t>WvjsUpLje</t>
  </si>
  <si>
    <t>mateo4468ortiz@gmx.com</t>
  </si>
  <si>
    <t>jdtrF89v</t>
  </si>
  <si>
    <t>bnytayes975@gmx.com</t>
  </si>
  <si>
    <t>OBYRdReQc</t>
  </si>
  <si>
    <t>xdynlxovf500@gmx.com</t>
  </si>
  <si>
    <t>vWuXLNmhY</t>
  </si>
  <si>
    <t>qdysxvoc2@gmx.com</t>
  </si>
  <si>
    <t>SdFjVKpfZ</t>
  </si>
  <si>
    <t>dtqcdbgs08@gmx.com</t>
  </si>
  <si>
    <t>uaWOADkHY</t>
  </si>
  <si>
    <t>laqsteuerj2mh@gmx.com</t>
  </si>
  <si>
    <t>vzHt1hd3</t>
  </si>
  <si>
    <t>kvcxavwzb21@gmx.com</t>
  </si>
  <si>
    <t>KxpMmANhv</t>
  </si>
  <si>
    <t>sawafmxb2287@gmx.com</t>
  </si>
  <si>
    <t>ImFwEUDwO</t>
  </si>
  <si>
    <t>segkpi830@gmx.com</t>
  </si>
  <si>
    <t>PqMtUKWkh</t>
  </si>
  <si>
    <t>jonixy0de@gmx.com</t>
  </si>
  <si>
    <t>FAdy78tq</t>
  </si>
  <si>
    <t>ooxhbjpvxyf@gmx.com</t>
  </si>
  <si>
    <t>uMLpWeIpU</t>
  </si>
  <si>
    <t>lkwivrtayn@gmx.com</t>
  </si>
  <si>
    <t>zsMWCCnXk</t>
  </si>
  <si>
    <t>sondra_levar@gmx.com</t>
  </si>
  <si>
    <t>z2yqa40Q2</t>
  </si>
  <si>
    <t>zqjbqtal480@gmx.com</t>
  </si>
  <si>
    <t>SFlIjmQcW</t>
  </si>
  <si>
    <t>tewzvffwb@gmx.com</t>
  </si>
  <si>
    <t>myBNgfkJT</t>
  </si>
  <si>
    <t>raelenepatvede@gmx.com</t>
  </si>
  <si>
    <t>n9m11iGn</t>
  </si>
  <si>
    <t>fsvtwinmvos7@gmx.com</t>
  </si>
  <si>
    <t>RLqbLlhZJ</t>
  </si>
  <si>
    <t>liaminickws@gmx.com</t>
  </si>
  <si>
    <t>q9Pt851OR</t>
  </si>
  <si>
    <t>natwaekp954@gmx.com</t>
  </si>
  <si>
    <t>NAVSqpILq</t>
  </si>
  <si>
    <t>lvqbdnavb5@gmx.com</t>
  </si>
  <si>
    <t>TyPUOzbdD</t>
  </si>
  <si>
    <t>sjtlvnfjl019@gmx.com</t>
  </si>
  <si>
    <t>DzagqMEpR</t>
  </si>
  <si>
    <t>laatplk421@gmx.com</t>
  </si>
  <si>
    <t>DuNYFvqnW</t>
  </si>
  <si>
    <t>bjrmwoqhhxs8@gmx.com</t>
  </si>
  <si>
    <t>SCUngCthj</t>
  </si>
  <si>
    <t>uyowbvrdt70@gmx.com</t>
  </si>
  <si>
    <t>VqiUGHIld</t>
  </si>
  <si>
    <t>awsmaxton@gmx.com</t>
  </si>
  <si>
    <t>zA2an7i7h</t>
  </si>
  <si>
    <t>byouNZnDA</t>
  </si>
  <si>
    <t>dnzyeezsy@gmx.com</t>
  </si>
  <si>
    <t>miGULCflz</t>
  </si>
  <si>
    <t>walmeaker03@gmx.com</t>
  </si>
  <si>
    <t>rlL499lunx</t>
  </si>
  <si>
    <t>owenv1jxturner@gmx.com</t>
  </si>
  <si>
    <t>rtNcYn1iN</t>
  </si>
  <si>
    <t>dtbmxz541@gmx.com</t>
  </si>
  <si>
    <t>NwoSQeLMm</t>
  </si>
  <si>
    <t>jfhferfy4@gmx.com</t>
  </si>
  <si>
    <t>TfhEVMitd</t>
  </si>
  <si>
    <t>julianczsch@gmx.com</t>
  </si>
  <si>
    <t>Bu6rouTP3p</t>
  </si>
  <si>
    <t>bfdcwkiqy56@gmx.com</t>
  </si>
  <si>
    <t>QGqXtFYjF</t>
  </si>
  <si>
    <t>itvzauubuk8@gmx.com</t>
  </si>
  <si>
    <t>emtRxUFqd</t>
  </si>
  <si>
    <t>josiahx96ses@gmx.com</t>
  </si>
  <si>
    <t>MPg6lB45nw</t>
  </si>
  <si>
    <t>lpjfrckcopz4@gmx.com</t>
  </si>
  <si>
    <t>FiJwymWUd</t>
  </si>
  <si>
    <t>jackrtk@gmx.com</t>
  </si>
  <si>
    <t>q1Rvvte9v</t>
  </si>
  <si>
    <t>kxaoesa750@gmx.com</t>
  </si>
  <si>
    <t>qFQUDPQMu</t>
  </si>
  <si>
    <t>syselcwjs46@gmx.com</t>
  </si>
  <si>
    <t>UItPjgkYO</t>
  </si>
  <si>
    <t>tawniepelchk5p@gmx.com</t>
  </si>
  <si>
    <t>dP5rdOvQ</t>
  </si>
  <si>
    <t>dwzmfzavel17@gmx.com</t>
  </si>
  <si>
    <t>vAAjpagVK</t>
  </si>
  <si>
    <t>lucasschutt@gmx.com</t>
  </si>
  <si>
    <t>Q59dAsB29</t>
  </si>
  <si>
    <t>ualxpaaj98@gmx.com</t>
  </si>
  <si>
    <t>XqRcVRjmt</t>
  </si>
  <si>
    <t>cwclxars06@gmx.com</t>
  </si>
  <si>
    <t>qWbIHzLYe</t>
  </si>
  <si>
    <t>kskkuqzjl852@gmx.com</t>
  </si>
  <si>
    <t>pUgyPGKmp</t>
  </si>
  <si>
    <t>xcwmbd605@gmx.com</t>
  </si>
  <si>
    <t>IBOdixjgY</t>
  </si>
  <si>
    <t>urdyrhoqj7@gmx.com</t>
  </si>
  <si>
    <t>LbvfMcXbG</t>
  </si>
  <si>
    <t>jacoboiubailey@gmx.com</t>
  </si>
  <si>
    <t>mfyE0zFId</t>
  </si>
  <si>
    <t>bfqnx2581@gmx.com</t>
  </si>
  <si>
    <t>ODpzOjJPm</t>
  </si>
  <si>
    <t>iifgmr318@gmx.com</t>
  </si>
  <si>
    <t>OUxxvoSID</t>
  </si>
  <si>
    <t>tvpcuak59@gmx.com</t>
  </si>
  <si>
    <t>tTZZENyZS</t>
  </si>
  <si>
    <t>iyhuboths69@gmx.com</t>
  </si>
  <si>
    <t>AhAzZQSyI</t>
  </si>
  <si>
    <t>VRjZRqVpT</t>
  </si>
  <si>
    <t>bensilvakc8@gmx.com</t>
  </si>
  <si>
    <t>Fv8od7ajzC</t>
  </si>
  <si>
    <t>larkhajb@gmx.com</t>
  </si>
  <si>
    <t>P1m3z0W7e</t>
  </si>
  <si>
    <t>wuodxbljm7@gmx.com</t>
  </si>
  <si>
    <t>uIuBLSOYJ</t>
  </si>
  <si>
    <t>viva.oconner@gmx.com</t>
  </si>
  <si>
    <t>uWm7Z5ELzitBZ</t>
  </si>
  <si>
    <t>catherineriunp@gmx.com</t>
  </si>
  <si>
    <t>kr5xTuW3</t>
  </si>
  <si>
    <t>liamsir7ul@gmx.com</t>
  </si>
  <si>
    <t>u1Olya73o</t>
  </si>
  <si>
    <t>yvdnescerw2@gmx.com</t>
  </si>
  <si>
    <t>xSToDAptt</t>
  </si>
  <si>
    <t>aflskdfjxiro@gmx.com</t>
  </si>
  <si>
    <t>QuXgIBAkm</t>
  </si>
  <si>
    <t>vtywedu23@gmx.com</t>
  </si>
  <si>
    <t>TNtUGTZTU</t>
  </si>
  <si>
    <t>ihkabnhjric@gmx.com</t>
  </si>
  <si>
    <t>dIgKlqATM</t>
  </si>
  <si>
    <t>markus.treutel74@gmx.com</t>
  </si>
  <si>
    <t>yE51UcOGleRT</t>
  </si>
  <si>
    <t>hudsongarciao4@gmx.com</t>
  </si>
  <si>
    <t>i6Wuv6t9v</t>
  </si>
  <si>
    <t>bmsjnfng623@gmx.com</t>
  </si>
  <si>
    <t>XDvzszRYj</t>
  </si>
  <si>
    <t>elijahwebbcwa@gmx.com</t>
  </si>
  <si>
    <t>dQ21CO8H8</t>
  </si>
  <si>
    <t>vfykjt0514@gmx.com</t>
  </si>
  <si>
    <t>noMpxACqU</t>
  </si>
  <si>
    <t>gra0dhansen@gmx.com</t>
  </si>
  <si>
    <t>va6Gt0arf</t>
  </si>
  <si>
    <t>ofxbdestw5@gmx.com</t>
  </si>
  <si>
    <t>FuNNCwiaL</t>
  </si>
  <si>
    <t>isadore_lang@gmx.com</t>
  </si>
  <si>
    <t>s0sxeGFpQBTc</t>
  </si>
  <si>
    <t>yqstytbex3@gmx.com</t>
  </si>
  <si>
    <t>UiCeyMbgZ</t>
  </si>
  <si>
    <t>anjali_keebler@gmx.com</t>
  </si>
  <si>
    <t>jFL0wo1eE06h</t>
  </si>
  <si>
    <t>isaacmendezia7@gmx.com</t>
  </si>
  <si>
    <t>ypko5fYb</t>
  </si>
  <si>
    <t>jackson9xcas@gmx.com</t>
  </si>
  <si>
    <t>v2j9AlA25a</t>
  </si>
  <si>
    <t>imbsmbytgq86@gmx.com</t>
  </si>
  <si>
    <t>ZKeveWxmY</t>
  </si>
  <si>
    <t>louisbra1@gmx.com</t>
  </si>
  <si>
    <t>lAJT1T0a</t>
  </si>
  <si>
    <t>sfiljxsbzxj0@gmx.com</t>
  </si>
  <si>
    <t>miOCgAVWS</t>
  </si>
  <si>
    <t>glfzrismebym@gmx.com</t>
  </si>
  <si>
    <t>pORvzmdGf</t>
  </si>
  <si>
    <t>lashundael836c@gmx.com</t>
  </si>
  <si>
    <t>rJ2qXbeGi9</t>
  </si>
  <si>
    <t>carterdixonsa7j@gmx.com</t>
  </si>
  <si>
    <t>cBvYE5eh</t>
  </si>
  <si>
    <t>eddie_stroman@gmx.com</t>
  </si>
  <si>
    <t>68pkgSBEGeJ42</t>
  </si>
  <si>
    <t>ntoibdl4733@gmx.com</t>
  </si>
  <si>
    <t>VQGkoyluu</t>
  </si>
  <si>
    <t>brendasolleg4@gmx.com</t>
  </si>
  <si>
    <t>Kwznrnj1I</t>
  </si>
  <si>
    <t>cpdbowloc055@gmx.com</t>
  </si>
  <si>
    <t>PHRbAemvY</t>
  </si>
  <si>
    <t>donald.stanton@gmx.com</t>
  </si>
  <si>
    <t>XcyfCxihAPJaq3</t>
  </si>
  <si>
    <t>ebony.kuvalis8@gmx.com</t>
  </si>
  <si>
    <t>tzyeQ8HEuFaU</t>
  </si>
  <si>
    <t>fghhezooi962@gmx.com</t>
  </si>
  <si>
    <t>MVNXeqPHT</t>
  </si>
  <si>
    <t>guaacuyh19@gmx.com</t>
  </si>
  <si>
    <t>kRPEFkdHD</t>
  </si>
  <si>
    <t>lburck9t@gmx.com</t>
  </si>
  <si>
    <t>TsBF3epIg</t>
  </si>
  <si>
    <t>iinvov786@gmx.com</t>
  </si>
  <si>
    <t>DMMaPBZkG</t>
  </si>
  <si>
    <t>ethanfp8moreno@gmx.com</t>
  </si>
  <si>
    <t>ag0a50ezNhp</t>
  </si>
  <si>
    <t>ezra7ye9c@gmx.com</t>
  </si>
  <si>
    <t>tA9f0BXsU</t>
  </si>
  <si>
    <t>aGGRETEqU</t>
  </si>
  <si>
    <t>tiwomlfbxum3@gmx.com</t>
  </si>
  <si>
    <t>FBfULpnzk</t>
  </si>
  <si>
    <t>rpkgqptqolj0@gmx.com</t>
  </si>
  <si>
    <t>gFamekCmf</t>
  </si>
  <si>
    <t>caortagaj0g@gmx.com</t>
  </si>
  <si>
    <t>vfp8XMeu</t>
  </si>
  <si>
    <t>henryt0dca@gmx.com</t>
  </si>
  <si>
    <t>wj333V0smp</t>
  </si>
  <si>
    <t>pfixgcsybkx0@gmx.com</t>
  </si>
  <si>
    <t>CvXUSyMtt</t>
  </si>
  <si>
    <t>lbegkaj5940@gmx.com</t>
  </si>
  <si>
    <t>hKlyGKZIG</t>
  </si>
  <si>
    <t>towwskjzmdh1@gmx.com</t>
  </si>
  <si>
    <t>hMUmjaFdd</t>
  </si>
  <si>
    <t>ymvhybg62@gmx.com</t>
  </si>
  <si>
    <t>KBgQLrzHH</t>
  </si>
  <si>
    <t>limjm1937@gmx.com</t>
  </si>
  <si>
    <t>tAkNTAxzF</t>
  </si>
  <si>
    <t>maclark9vx@gmx.com</t>
  </si>
  <si>
    <t>v7U6iBovV8</t>
  </si>
  <si>
    <t>wsqlntxf4@gmx.com</t>
  </si>
  <si>
    <t>kjWdfRaNv</t>
  </si>
  <si>
    <t>neil86@gmx.com</t>
  </si>
  <si>
    <t>Hw9Bx6MS5K9vsC</t>
  </si>
  <si>
    <t>mzwjtortiz@gmx.com</t>
  </si>
  <si>
    <t>o27L23Admr</t>
  </si>
  <si>
    <t>jsjtiutgsls@gmx.com</t>
  </si>
  <si>
    <t>XvCGzHzKZ</t>
  </si>
  <si>
    <t>c4afcooper@gmx.com</t>
  </si>
  <si>
    <t>mzP317z5sl8</t>
  </si>
  <si>
    <t>exykihnuonx@gmx.com</t>
  </si>
  <si>
    <t>PivbRnsKF</t>
  </si>
  <si>
    <t>ivyvuigx183@gmx.com</t>
  </si>
  <si>
    <t>qDmiXuAmm</t>
  </si>
  <si>
    <t>KGXygBJEt</t>
  </si>
  <si>
    <t>hxpcwiulf46@gmx.com</t>
  </si>
  <si>
    <t>yptWaxtuO</t>
  </si>
  <si>
    <t>fjmmlpwv2@gmx.com</t>
  </si>
  <si>
    <t>rCheHHXvh</t>
  </si>
  <si>
    <t>arnitadeese3p@gmx.com</t>
  </si>
  <si>
    <t>rOk3pm090r</t>
  </si>
  <si>
    <t>kristian.pollich@gmx.com</t>
  </si>
  <si>
    <t>lSIlhYXi2YcW</t>
  </si>
  <si>
    <t>owzcbx8220@gmx.com</t>
  </si>
  <si>
    <t>obgpSiztR</t>
  </si>
  <si>
    <t>yfwwwqccta48@gmx.com</t>
  </si>
  <si>
    <t>qKymQppfG</t>
  </si>
  <si>
    <t>louie.daniel86@gmx.com</t>
  </si>
  <si>
    <t>vsdeIkWBdv6sZ</t>
  </si>
  <si>
    <t>owzxzqc83me@gmx.com</t>
  </si>
  <si>
    <t>bcFplolHN</t>
  </si>
  <si>
    <t>kceRVOlTI</t>
  </si>
  <si>
    <t>fmtefvjeh5@gmx.com</t>
  </si>
  <si>
    <t>iDChkBAHb</t>
  </si>
  <si>
    <t>jgnekjp368@gmx.com</t>
  </si>
  <si>
    <t>YLPQEoHEQ</t>
  </si>
  <si>
    <t>juliankingmlo1@gmx.com</t>
  </si>
  <si>
    <t>Etws2pFbDn</t>
  </si>
  <si>
    <t>carynnamer7uo2@gmx.com</t>
  </si>
  <si>
    <t>s4gH3yyp1</t>
  </si>
  <si>
    <t>the42george@gmx.com</t>
  </si>
  <si>
    <t>i91DgdGbTV</t>
  </si>
  <si>
    <t>dyjrtpwocufw@gmx.com</t>
  </si>
  <si>
    <t>vfsRPdecu</t>
  </si>
  <si>
    <t>deyznnrilgzl@gmx.com</t>
  </si>
  <si>
    <t>zAPzvnkBZ</t>
  </si>
  <si>
    <t>johnmartin73@gmx.com</t>
  </si>
  <si>
    <t>gy24jpA09w</t>
  </si>
  <si>
    <t>xiryjregf685@gmx.com</t>
  </si>
  <si>
    <t>yDGyTBpgd</t>
  </si>
  <si>
    <t>akules8i@gmx.com</t>
  </si>
  <si>
    <t>uXjyUS6Ev</t>
  </si>
  <si>
    <t>xlkGevbLD</t>
  </si>
  <si>
    <t>ashlils5car@gmx.com</t>
  </si>
  <si>
    <t>frc7Nj9q0u</t>
  </si>
  <si>
    <t>degwj3607@gmx.com</t>
  </si>
  <si>
    <t>HvQDJVwwF</t>
  </si>
  <si>
    <t>isaac1yf@gmx.com</t>
  </si>
  <si>
    <t>Yh5Ll18s</t>
  </si>
  <si>
    <t>ujvshnemuoz@gmx.com</t>
  </si>
  <si>
    <t>opCLKcxGx</t>
  </si>
  <si>
    <t>dino.baumbach32@gmx.com</t>
  </si>
  <si>
    <t>TqcDKnEEW90xBo</t>
  </si>
  <si>
    <t>mczhfwhzlx@gmx.com</t>
  </si>
  <si>
    <t>OpHjehkJr</t>
  </si>
  <si>
    <t>romy2i7van@gmx.com</t>
  </si>
  <si>
    <t>cS17aOy6p</t>
  </si>
  <si>
    <t>bebvomgray@gmx.com</t>
  </si>
  <si>
    <t>m5ovBNw8bn</t>
  </si>
  <si>
    <t>yrrdh8060@gmx.com</t>
  </si>
  <si>
    <t>RfeqBDmxu</t>
  </si>
  <si>
    <t>benjaminhqmor@gmx.com</t>
  </si>
  <si>
    <t>v761zaTy75</t>
  </si>
  <si>
    <t>ynixevfbi4@gmx.com</t>
  </si>
  <si>
    <t>HjKqKSRya</t>
  </si>
  <si>
    <t>monserrate88@gmx.com</t>
  </si>
  <si>
    <t>MznjVyIrMcer5</t>
  </si>
  <si>
    <t>ctokmbuuk@gmx.com</t>
  </si>
  <si>
    <t>BBcjdqUnM</t>
  </si>
  <si>
    <t>afsfpt2796@gmx.com</t>
  </si>
  <si>
    <t>wfQcpIlHQ</t>
  </si>
  <si>
    <t>megps2rbolda@gmx.com</t>
  </si>
  <si>
    <t>v0i5fqi4xJ</t>
  </si>
  <si>
    <t>lhmwq1199@gmx.com</t>
  </si>
  <si>
    <t>raJfjpiYh</t>
  </si>
  <si>
    <t>mishal5zdade@gmx.com</t>
  </si>
  <si>
    <t>vDI0p0H4w</t>
  </si>
  <si>
    <t>fljihzsrsi30@gmx.com</t>
  </si>
  <si>
    <t>zRaEwNAum</t>
  </si>
  <si>
    <t>dirlvhavr639@gmx.com</t>
  </si>
  <si>
    <t>ekdNYXFkq</t>
  </si>
  <si>
    <t>facjcdn331@gmx.com</t>
  </si>
  <si>
    <t>jFHblEXFD</t>
  </si>
  <si>
    <t>uibtsmwaaz83@gmx.com</t>
  </si>
  <si>
    <t>zxZopYnCH</t>
  </si>
  <si>
    <t>williamcrp4@gmx.com</t>
  </si>
  <si>
    <t>fO837F8N</t>
  </si>
  <si>
    <t>henrychentvsj@gmx.com</t>
  </si>
  <si>
    <t>knLXH8kQ6J</t>
  </si>
  <si>
    <t>buford88@gmx.com</t>
  </si>
  <si>
    <t>kWwIlNYJAug9L</t>
  </si>
  <si>
    <t>vhxelbdup292@gmx.com</t>
  </si>
  <si>
    <t>mBnRyAvon</t>
  </si>
  <si>
    <t>vtefluru25@gmx.com</t>
  </si>
  <si>
    <t>YxGJCvqmX</t>
  </si>
  <si>
    <t>bgvmruima50@gmx.com</t>
  </si>
  <si>
    <t>FEbvIpelb</t>
  </si>
  <si>
    <t>raqrhukip@gmx.com</t>
  </si>
  <si>
    <t>vKDHKKKJY</t>
  </si>
  <si>
    <t>umpvtcwcvb70@gmx.com</t>
  </si>
  <si>
    <t>NfCtymwBo</t>
  </si>
  <si>
    <t>bmwmhxgas@gmx.com</t>
  </si>
  <si>
    <t>RllkfXbpM</t>
  </si>
  <si>
    <t>cyaegerajq@gmx.com</t>
  </si>
  <si>
    <t>umo8JxZ7</t>
  </si>
  <si>
    <t>jamal_pacocha22@gmx.com</t>
  </si>
  <si>
    <t>nTYqRjsJwzjIy2</t>
  </si>
  <si>
    <t>gnzvpfvfm995@gmx.com</t>
  </si>
  <si>
    <t>MOBLdJZtJ</t>
  </si>
  <si>
    <t>gr7ygica@gmx.com</t>
  </si>
  <si>
    <t>LgQ2nkdaj6</t>
  </si>
  <si>
    <t>hejkrq659@gmx.com</t>
  </si>
  <si>
    <t>hZgnLbpdV</t>
  </si>
  <si>
    <t>daniaujkr@gmx.com</t>
  </si>
  <si>
    <t>td6xlW56ct</t>
  </si>
  <si>
    <t>sxwyvwfyg271@gmx.com</t>
  </si>
  <si>
    <t>dvPgqUABa</t>
  </si>
  <si>
    <t>UvFNqcVFc</t>
  </si>
  <si>
    <t>franchesca1ksta@gmx.com</t>
  </si>
  <si>
    <t>Rnz4toYekw</t>
  </si>
  <si>
    <t>mondaycrutel3c@gmx.com</t>
  </si>
  <si>
    <t>x2twhgZ5c1</t>
  </si>
  <si>
    <t>aidenv1frd@gmx.com</t>
  </si>
  <si>
    <t>mW22s2d2w</t>
  </si>
  <si>
    <t>tyrell.moen89@gmx.com</t>
  </si>
  <si>
    <t>s67MeGKbocoZ1Yx</t>
  </si>
  <si>
    <t>jamesmq1xst@gmx.com</t>
  </si>
  <si>
    <t>rF6nsEdQ</t>
  </si>
  <si>
    <t>luciano.mosciski29@gmx.com</t>
  </si>
  <si>
    <t>zQPBjL5bkCvFPr9</t>
  </si>
  <si>
    <t>jackclarkzs@gmx.com</t>
  </si>
  <si>
    <t>qb398laM8</t>
  </si>
  <si>
    <t>grenvilleduywh8@gmx.com</t>
  </si>
  <si>
    <t>jyGk1Th7O</t>
  </si>
  <si>
    <t>bobby.hayes@gmx.com</t>
  </si>
  <si>
    <t>tFgY58YkcFJ9oq</t>
  </si>
  <si>
    <t>lplwpi520@gmx.com</t>
  </si>
  <si>
    <t>GFPVyVVmQ</t>
  </si>
  <si>
    <t>isaaccol32@gmx.com</t>
  </si>
  <si>
    <t>fohV1AM3</t>
  </si>
  <si>
    <t>etehffcz0430@gmx.com</t>
  </si>
  <si>
    <t>fjqSMlPeq</t>
  </si>
  <si>
    <t>alana.reichert48@gmx.com</t>
  </si>
  <si>
    <t>CTf9OMKV7XbODlt</t>
  </si>
  <si>
    <t>f1Utqte34</t>
  </si>
  <si>
    <t>ernao2jnpavick@gmx.com</t>
  </si>
  <si>
    <t>ch4Wp7NMo</t>
  </si>
  <si>
    <t>waxelpyxpj@gmx.com</t>
  </si>
  <si>
    <t>eNQSetqMM</t>
  </si>
  <si>
    <t>m2u6lemmer@gmx.com</t>
  </si>
  <si>
    <t>euNwGzxq8m</t>
  </si>
  <si>
    <t>fqehjnv0902@gmx.com</t>
  </si>
  <si>
    <t>hPzNsGztw</t>
  </si>
  <si>
    <t>hudsonjoywberry@gmx.com</t>
  </si>
  <si>
    <t>nohv7KTq5F</t>
  </si>
  <si>
    <t>danielr37@gmx.com</t>
  </si>
  <si>
    <t>h14j7vNz3</t>
  </si>
  <si>
    <t>noahwarren4k@gmx.com</t>
  </si>
  <si>
    <t>pze3b40gcU</t>
  </si>
  <si>
    <t>bwxot1306@gmx.com</t>
  </si>
  <si>
    <t>lkmIZqZcy</t>
  </si>
  <si>
    <t>augustus_schmitt@gmx.com</t>
  </si>
  <si>
    <t>G4iO0GqTJ5Mciqn</t>
  </si>
  <si>
    <t>jayne20@gmx.com</t>
  </si>
  <si>
    <t>APPLblzjCY5QV</t>
  </si>
  <si>
    <t>wyattof8mrus@gmx.com</t>
  </si>
  <si>
    <t>y3XR0S3Ye5</t>
  </si>
  <si>
    <t>carmen9ygondek@gmx.com</t>
  </si>
  <si>
    <t>ZYla5141</t>
  </si>
  <si>
    <t>muoehwxn2@gmx.com</t>
  </si>
  <si>
    <t>xnmNlgrbx</t>
  </si>
  <si>
    <t>ireneosst@gmx.com</t>
  </si>
  <si>
    <t>u8lbM00uz</t>
  </si>
  <si>
    <t>ctmdckn231@gmx.com</t>
  </si>
  <si>
    <t>mWWZVTXRm</t>
  </si>
  <si>
    <t>owens63arm@gmx.com</t>
  </si>
  <si>
    <t>vDwu9ocXc</t>
  </si>
  <si>
    <t>jgpuzcpr894@gmx.com</t>
  </si>
  <si>
    <t>RtcssnqpN</t>
  </si>
  <si>
    <t>alexandererh@gmx.com</t>
  </si>
  <si>
    <t>yseOkr0WI</t>
  </si>
  <si>
    <t>noeizxnxlgb@gmx.com</t>
  </si>
  <si>
    <t>AvVSGmbPR</t>
  </si>
  <si>
    <t>jabaileyfkr1@gmx.com</t>
  </si>
  <si>
    <t>HMqwkfe3o9</t>
  </si>
  <si>
    <t>gxbkh2540@gmx.com</t>
  </si>
  <si>
    <t>CBPjWUyrT</t>
  </si>
  <si>
    <t>dkappzrve356@gmx.com</t>
  </si>
  <si>
    <t>XCrNHnqAE</t>
  </si>
  <si>
    <t>alden_walsh58@gmx.com</t>
  </si>
  <si>
    <t>K1SUqRegoQa7Z</t>
  </si>
  <si>
    <t>bmvhfezhkfr1jb@gmx.com</t>
  </si>
  <si>
    <t>xDTBZpxsx</t>
  </si>
  <si>
    <t>owend44zpet@gmx.com</t>
  </si>
  <si>
    <t>AgBKuue2j</t>
  </si>
  <si>
    <t>ktprdjvjjjmu@gmx.com</t>
  </si>
  <si>
    <t>qiUbqUPwZ</t>
  </si>
  <si>
    <t>pbwmomjroi27fv@gmx.com</t>
  </si>
  <si>
    <t>QEZbffTOP</t>
  </si>
  <si>
    <t>zalxnuqn2561@gmx.com</t>
  </si>
  <si>
    <t>BPMjUoFZw</t>
  </si>
  <si>
    <t>aiidrkes5246@gmx.com</t>
  </si>
  <si>
    <t>hoqKCkZcy</t>
  </si>
  <si>
    <t>savannah.little@gmx.com</t>
  </si>
  <si>
    <t>C1PcWjf4uHpKd</t>
  </si>
  <si>
    <t>irving_grady88@gmx.com</t>
  </si>
  <si>
    <t>EXEcqhyPQG2Z</t>
  </si>
  <si>
    <t>jerredcabrutus@gmx.com</t>
  </si>
  <si>
    <t>Pq3o2ocv</t>
  </si>
  <si>
    <t>uzoinlheg419@gmx.com</t>
  </si>
  <si>
    <t>tHZPkMrEb</t>
  </si>
  <si>
    <t>xhslzDdqG</t>
  </si>
  <si>
    <t>kqufwt4861@gmx.com</t>
  </si>
  <si>
    <t>xXDxegpUm</t>
  </si>
  <si>
    <t>paden7j7lfe@gmx.com</t>
  </si>
  <si>
    <t>qm5s4o9W9j</t>
  </si>
  <si>
    <t>wtorresye@gmx.com</t>
  </si>
  <si>
    <t>q7kzbtoH</t>
  </si>
  <si>
    <t>tfxoxcvxh28@gmx.com</t>
  </si>
  <si>
    <t>nCtAZcQHz</t>
  </si>
  <si>
    <t>jacobgri6y@gmx.com</t>
  </si>
  <si>
    <t>F3kb87R6</t>
  </si>
  <si>
    <t>keeshapriodgn@gmx.com</t>
  </si>
  <si>
    <t>ocUup8rh72</t>
  </si>
  <si>
    <t>simavgtk910@gmx.com</t>
  </si>
  <si>
    <t>RKObKyTAe</t>
  </si>
  <si>
    <t>EPGSuuVnM</t>
  </si>
  <si>
    <t>bjeoknxz9@gmx.com</t>
  </si>
  <si>
    <t>GgIhNfLoD</t>
  </si>
  <si>
    <t>rfzrrmzt0@gmx.com</t>
  </si>
  <si>
    <t>YfXTfWlFq</t>
  </si>
  <si>
    <t>ida.mertz94@gmx.com</t>
  </si>
  <si>
    <t>FsHk8fvUXhObmyl7</t>
  </si>
  <si>
    <t>villella9zkry@gmx.com</t>
  </si>
  <si>
    <t>Z4lyjnbf</t>
  </si>
  <si>
    <t>vtqktcdsaj9@gmx.com</t>
  </si>
  <si>
    <t>hIiNgqpXg</t>
  </si>
  <si>
    <t>gukzfkpnz78@gmx.com</t>
  </si>
  <si>
    <t>RakpWAqfn</t>
  </si>
  <si>
    <t>utecmsfb4@gmx.com</t>
  </si>
  <si>
    <t>EBZoyQwuC</t>
  </si>
  <si>
    <t>cdwiucbpgo64@gmx.com</t>
  </si>
  <si>
    <t>BCUCGRJvi</t>
  </si>
  <si>
    <t>yicjbn907@gmx.com</t>
  </si>
  <si>
    <t>csNadjWNc</t>
  </si>
  <si>
    <t>kellyebirdbz@gmx.com</t>
  </si>
  <si>
    <t>Q7d17eh0w</t>
  </si>
  <si>
    <t>tyrel.beier48@gmx.com</t>
  </si>
  <si>
    <t>wvRNAMAUhcLtbm</t>
  </si>
  <si>
    <t>haletr5gy@gmx.com</t>
  </si>
  <si>
    <t>RhaEua892h</t>
  </si>
  <si>
    <t>fysqhkfz24pj@gmx.com</t>
  </si>
  <si>
    <t>HaqwnVeiQ</t>
  </si>
  <si>
    <t>foqnchcv0@gmx.com</t>
  </si>
  <si>
    <t>dKDHwGgxN</t>
  </si>
  <si>
    <t>joey58@gmx.com</t>
  </si>
  <si>
    <t>gAYVVRVdIvt9</t>
  </si>
  <si>
    <t>zdydbow97@gmx.com</t>
  </si>
  <si>
    <t>ceyHHShZW</t>
  </si>
  <si>
    <t>thomas67dunn@gmx.com</t>
  </si>
  <si>
    <t>eXwm9N5dm</t>
  </si>
  <si>
    <t>mwselnyj39@gmx.com</t>
  </si>
  <si>
    <t>NpXlYEuTa</t>
  </si>
  <si>
    <t>wallace_gaylord71@gmx.com</t>
  </si>
  <si>
    <t>KkT8dukuKITs</t>
  </si>
  <si>
    <t>hudson9mo2m@gmx.com</t>
  </si>
  <si>
    <t>DMhOoB5A</t>
  </si>
  <si>
    <t>ecuvrhtxwgqn@gmx.com</t>
  </si>
  <si>
    <t>ZDZLnlAlT</t>
  </si>
  <si>
    <t>dcbrhmdg8@gmx.com</t>
  </si>
  <si>
    <t>vQIqduOUR</t>
  </si>
  <si>
    <t>uhpbkeuxd03@gmx.com</t>
  </si>
  <si>
    <t>aEmPKfiRZ</t>
  </si>
  <si>
    <t>forrest.lehner87@gmx.com</t>
  </si>
  <si>
    <t>N1pO2sNuXFXyEzfs</t>
  </si>
  <si>
    <t>zella-lu@gmx.com</t>
  </si>
  <si>
    <t>zuz7FUka95</t>
  </si>
  <si>
    <t>juanita_satterfield82@gmx.com</t>
  </si>
  <si>
    <t>SDjtzLLSBezQ</t>
  </si>
  <si>
    <t>YIIIaNUUg</t>
  </si>
  <si>
    <t>iqckwbrpj9@gmx.com</t>
  </si>
  <si>
    <t>nLkCnPHrq</t>
  </si>
  <si>
    <t>aagiudsai@gmx.com</t>
  </si>
  <si>
    <t>KfsTHwPDq</t>
  </si>
  <si>
    <t>desireefue0@gmx.com</t>
  </si>
  <si>
    <t>zoq6vQ1H</t>
  </si>
  <si>
    <t>ftowpty007@gmx.com</t>
  </si>
  <si>
    <t>UNhhRuAYe</t>
  </si>
  <si>
    <t>jamesx5h0white@gmx.com</t>
  </si>
  <si>
    <t>fb04Xln08</t>
  </si>
  <si>
    <t>DqldupQTB</t>
  </si>
  <si>
    <t>jaydenhill47fe@gmx.com</t>
  </si>
  <si>
    <t>XW36l0opj9</t>
  </si>
  <si>
    <t>rlidcox0858@gmx.com</t>
  </si>
  <si>
    <t>IPKGnqxlO</t>
  </si>
  <si>
    <t>mrinshgk4562@gmx.com</t>
  </si>
  <si>
    <t>UOQaQVdJX</t>
  </si>
  <si>
    <t>nddulvvyl8@gmx.com</t>
  </si>
  <si>
    <t>WYDMctaJR</t>
  </si>
  <si>
    <t>lucaspalmerkxx@gmx.com</t>
  </si>
  <si>
    <t>T4y5dr9hB1</t>
  </si>
  <si>
    <t>qfhtrhkiwe68@gmx.com</t>
  </si>
  <si>
    <t>RPHdSodwH</t>
  </si>
  <si>
    <t>thehansen4050@gmx.com</t>
  </si>
  <si>
    <t>Yfl01rhs3in</t>
  </si>
  <si>
    <t>vayaihaz3608@gmx.com</t>
  </si>
  <si>
    <t>tyTZpBQXm</t>
  </si>
  <si>
    <t>jacksonale2j@gmx.com</t>
  </si>
  <si>
    <t>eh9zD1V0wh</t>
  </si>
  <si>
    <t>peshell6u@gmx.com</t>
  </si>
  <si>
    <t>mobb6Gxk5pb</t>
  </si>
  <si>
    <t>bakzuincea6@gmx.com</t>
  </si>
  <si>
    <t>woZRpyuuM</t>
  </si>
  <si>
    <t>jyilvrmj834@gmx.com</t>
  </si>
  <si>
    <t>HmnSBsAoG</t>
  </si>
  <si>
    <t>jerad_greenholt11@gmx.com</t>
  </si>
  <si>
    <t>iGcMbpX41y0FDBFD</t>
  </si>
  <si>
    <t>ashertqo@gmx.com</t>
  </si>
  <si>
    <t>dW2Ji94O</t>
  </si>
  <si>
    <t>iwxgdyso7tx@gmx.com</t>
  </si>
  <si>
    <t>YknFrTvEv</t>
  </si>
  <si>
    <t>cooper99@gmx.com</t>
  </si>
  <si>
    <t>18fkRZBqrcLff</t>
  </si>
  <si>
    <t>mkptlc023@gmx.com</t>
  </si>
  <si>
    <t>SprwMzgoO</t>
  </si>
  <si>
    <t>wuobKPNQz</t>
  </si>
  <si>
    <t>ojiztinbgs6@gmx.com</t>
  </si>
  <si>
    <t>ncWgwTcpF</t>
  </si>
  <si>
    <t>andres.pagac3@gmx.com</t>
  </si>
  <si>
    <t>OGAO5YBz0yyW</t>
  </si>
  <si>
    <t>loganubribell@gmx.com</t>
  </si>
  <si>
    <t>kmKhr2iaz</t>
  </si>
  <si>
    <t>smlxmgna0041@gmx.com</t>
  </si>
  <si>
    <t>AvqyXIUWD</t>
  </si>
  <si>
    <t>BCYWzXHqY</t>
  </si>
  <si>
    <t>antoninarrsch@gmx.com</t>
  </si>
  <si>
    <t>cjba9Hxly</t>
  </si>
  <si>
    <t>ytstwghrsb67@gmx.com</t>
  </si>
  <si>
    <t>HfZZWcdNv</t>
  </si>
  <si>
    <t>aftonlegier02@gmx.com</t>
  </si>
  <si>
    <t>Out7101C</t>
  </si>
  <si>
    <t>fuybckcrle@gmx.com</t>
  </si>
  <si>
    <t>EnwmAlZAq</t>
  </si>
  <si>
    <t>vwlwmriospg@gmx.com</t>
  </si>
  <si>
    <t>PUgWZWaNQ</t>
  </si>
  <si>
    <t>osbourne_v@gmx.com</t>
  </si>
  <si>
    <t>mhuD6f6j</t>
  </si>
  <si>
    <t>skqlalvvox99@gmx.com</t>
  </si>
  <si>
    <t>zBEVkrnYR</t>
  </si>
  <si>
    <t>yvaofazym@gmx.com</t>
  </si>
  <si>
    <t>oWqIJcOzi</t>
  </si>
  <si>
    <t>sudiehol3x6@gmx.com</t>
  </si>
  <si>
    <t>EuLLSf0Zl1</t>
  </si>
  <si>
    <t>qapithmvwizs@gmx.com</t>
  </si>
  <si>
    <t>LtVzQjhdI</t>
  </si>
  <si>
    <t>mn0grgarza@gmx.com</t>
  </si>
  <si>
    <t>drx6wZIa3y</t>
  </si>
  <si>
    <t>WgmPdJsVa</t>
  </si>
  <si>
    <t>wcwqvarfc783@gmx.com</t>
  </si>
  <si>
    <t>cexTqQYef</t>
  </si>
  <si>
    <t>abe.jacobs@gmx.com</t>
  </si>
  <si>
    <t>crm24b4jjA9Cdk</t>
  </si>
  <si>
    <t>henryiohenry@gmx.com</t>
  </si>
  <si>
    <t>TQV2QG3n</t>
  </si>
  <si>
    <t>gykgftqu184@gmx.com</t>
  </si>
  <si>
    <t>pTvDhXVJN</t>
  </si>
  <si>
    <t>nlfqwnvrik99@gmx.com</t>
  </si>
  <si>
    <t>QahohlYfl</t>
  </si>
  <si>
    <t>szsnacpfwjy@gmx.com</t>
  </si>
  <si>
    <t>kGWPJmJtk</t>
  </si>
  <si>
    <t>the3albrown@gmx.com</t>
  </si>
  <si>
    <t>w1hHzwbkO</t>
  </si>
  <si>
    <t>lamont.mccullough50@gmx.com</t>
  </si>
  <si>
    <t>XSmkRve23x6K6</t>
  </si>
  <si>
    <t>loganchavezzl5@gmx.com</t>
  </si>
  <si>
    <t>nOp4nk8f</t>
  </si>
  <si>
    <t>gxqdzwbfv7@gmx.com</t>
  </si>
  <si>
    <t>CfWIWWJOI</t>
  </si>
  <si>
    <t>carterhughesg47a@gmx.com</t>
  </si>
  <si>
    <t>Zpgb6G57o9</t>
  </si>
  <si>
    <t>gryany46t@gmx.com</t>
  </si>
  <si>
    <t>ncXNQHfh5c</t>
  </si>
  <si>
    <t>ykkggupx82oc@gmx.com</t>
  </si>
  <si>
    <t>wEkRrXCai</t>
  </si>
  <si>
    <t>graysons2me@gmx.com</t>
  </si>
  <si>
    <t>Mw4080ju3a</t>
  </si>
  <si>
    <t>fyacyboyh681@gmx.com</t>
  </si>
  <si>
    <t>DITJFHQta</t>
  </si>
  <si>
    <t>elijahbrownb3oj@gmx.com</t>
  </si>
  <si>
    <t>S5k6us1bp1</t>
  </si>
  <si>
    <t>nsohtljn741@gmx.com</t>
  </si>
  <si>
    <t>RrlJgaqAr</t>
  </si>
  <si>
    <t>eryffjpomzt0@gmx.com</t>
  </si>
  <si>
    <t>PXqTlbfxU</t>
  </si>
  <si>
    <t>uqanwujxxl22@gmx.com</t>
  </si>
  <si>
    <t>JhIjMaTRp</t>
  </si>
  <si>
    <t>yamtwnc7698@gmx.com</t>
  </si>
  <si>
    <t>apgImyPvZ</t>
  </si>
  <si>
    <t>urljyiogddlz@gmx.com</t>
  </si>
  <si>
    <t>SJojKNStt</t>
  </si>
  <si>
    <t>thmtpburke@gmx.com</t>
  </si>
  <si>
    <t>iS9zdJnqtb</t>
  </si>
  <si>
    <t>ddqzrui4199@gmx.com</t>
  </si>
  <si>
    <t>qrqSRIqWO</t>
  </si>
  <si>
    <t>aron.breitenberg11@gmx.com</t>
  </si>
  <si>
    <t>vHeKVVyiJixCEcKr</t>
  </si>
  <si>
    <t>wo.ceola@gmx.com</t>
  </si>
  <si>
    <t>pb5Mvw6ro7</t>
  </si>
  <si>
    <t>bzsmwsas6701@gmx.com</t>
  </si>
  <si>
    <t>QhsAmhydz</t>
  </si>
  <si>
    <t>georgianna_toy52@gmx.com</t>
  </si>
  <si>
    <t>qAIT7Dfif7VX4</t>
  </si>
  <si>
    <t>wbtgiswdb877@gmx.com</t>
  </si>
  <si>
    <t>qlEppqoFZ</t>
  </si>
  <si>
    <t>tldpltsg42@gmx.com</t>
  </si>
  <si>
    <t>gYejFdSPM</t>
  </si>
  <si>
    <t>ruthie.collier@gmx.com</t>
  </si>
  <si>
    <t>F0SK2mSXofbv</t>
  </si>
  <si>
    <t>ovscfujoygan@gmx.com</t>
  </si>
  <si>
    <t>dziBEcNHH</t>
  </si>
  <si>
    <t>qyzloveuu516@gmx.com</t>
  </si>
  <si>
    <t>zIqSExrgB</t>
  </si>
  <si>
    <t>yswauyt580@gmx.com</t>
  </si>
  <si>
    <t>vDxROJisc</t>
  </si>
  <si>
    <t>riorguler@gmx.com</t>
  </si>
  <si>
    <t>z1DtuZjBym</t>
  </si>
  <si>
    <t>tyxlaexd0@gmx.com</t>
  </si>
  <si>
    <t>sbEjlOXmK</t>
  </si>
  <si>
    <t>deena613jl@gmx.com</t>
  </si>
  <si>
    <t>xx4yKr1i</t>
  </si>
  <si>
    <t>james0fromero@gmx.com</t>
  </si>
  <si>
    <t>otR070ea1</t>
  </si>
  <si>
    <t>dorothy90@gmx.com</t>
  </si>
  <si>
    <t>2VMG3XWMw0RytD</t>
  </si>
  <si>
    <t>louie_schaefer@gmx.com</t>
  </si>
  <si>
    <t>CLGOQSEIXlfr</t>
  </si>
  <si>
    <t>jacobrlhart@gmx.com</t>
  </si>
  <si>
    <t>AvX3a70h</t>
  </si>
  <si>
    <t>ethand9c@gmx.com</t>
  </si>
  <si>
    <t>o2bV2cAC</t>
  </si>
  <si>
    <t>mzaxtqqdle@gmx.com</t>
  </si>
  <si>
    <t>ROadVWxjv</t>
  </si>
  <si>
    <t>emqmtvizkr82@gmx.com</t>
  </si>
  <si>
    <t>lzMSMCUNX</t>
  </si>
  <si>
    <t>elijaht7xweaver@gmx.com</t>
  </si>
  <si>
    <t>g3AfwA0G8</t>
  </si>
  <si>
    <t>lzhekbxvoe7@gmx.com</t>
  </si>
  <si>
    <t>UazBnnHoL</t>
  </si>
  <si>
    <t>lorinrondonadjj@gmx.com</t>
  </si>
  <si>
    <t>KseL0o03r</t>
  </si>
  <si>
    <t>wifefbftkb72@gmx.com</t>
  </si>
  <si>
    <t>FtASMYYEU</t>
  </si>
  <si>
    <t>daniel7phjordan@gmx.com</t>
  </si>
  <si>
    <t>L566OnlzS6</t>
  </si>
  <si>
    <t>ksevvtfp1@gmx.com</t>
  </si>
  <si>
    <t>qhSKdDmzl</t>
  </si>
  <si>
    <t>cPDQZqhYo</t>
  </si>
  <si>
    <t>zamgnu575@gmx.com</t>
  </si>
  <si>
    <t>GgiIsYzGm</t>
  </si>
  <si>
    <t>lchavez5jm@gmx.com</t>
  </si>
  <si>
    <t>N2I6cTtIqf</t>
  </si>
  <si>
    <t>CSJXntcdV</t>
  </si>
  <si>
    <t>matthewnbr3he@gmx.com</t>
  </si>
  <si>
    <t>v4wj7zA3j</t>
  </si>
  <si>
    <t>coreil-ste@gmx.com</t>
  </si>
  <si>
    <t>C28l0M4i</t>
  </si>
  <si>
    <t>fafpho8485@gmx.com</t>
  </si>
  <si>
    <t>PoDaBTHRs</t>
  </si>
  <si>
    <t>jcvqgkggks91@gmx.com</t>
  </si>
  <si>
    <t>lqfbhdXHa</t>
  </si>
  <si>
    <t>zmeuylnji427@gmx.com</t>
  </si>
  <si>
    <t>MNQnOBAor</t>
  </si>
  <si>
    <t>dlmzrrmtxc52@gmx.com</t>
  </si>
  <si>
    <t>FjrGywUfv</t>
  </si>
  <si>
    <t>funvnxg313@gmx.com</t>
  </si>
  <si>
    <t>rbeKlSlUr</t>
  </si>
  <si>
    <t>OMELdWsuv</t>
  </si>
  <si>
    <t>hnvnluiv88@gmx.com</t>
  </si>
  <si>
    <t>FfiwJjLtP</t>
  </si>
  <si>
    <t>ethanwt0cw@gmx.com</t>
  </si>
  <si>
    <t>rZPl6bu0</t>
  </si>
  <si>
    <t>rqoIWkycR</t>
  </si>
  <si>
    <t>sunga-ray@gmx.com</t>
  </si>
  <si>
    <t>n194sU6u</t>
  </si>
  <si>
    <t>leatha_jakubowski@gmx.com</t>
  </si>
  <si>
    <t>rByj3Wzm5cnuE4n</t>
  </si>
  <si>
    <t>vswvyfypz347@gmx.com</t>
  </si>
  <si>
    <t>DuDyUDMaZ</t>
  </si>
  <si>
    <t>zgtimvvznn@gmx.com</t>
  </si>
  <si>
    <t>qHJqyHHRZ</t>
  </si>
  <si>
    <t>syrqbajdp923@gmx.com</t>
  </si>
  <si>
    <t>fNYgBwUfi</t>
  </si>
  <si>
    <t>byagggpk667@gmx.com</t>
  </si>
  <si>
    <t>DzAmrQsgk</t>
  </si>
  <si>
    <t>kzyjjstpod4@gmx.com</t>
  </si>
  <si>
    <t>VYnszffOo</t>
  </si>
  <si>
    <t>caylaretzerf66y@gmx.com</t>
  </si>
  <si>
    <t>sy9sKe1O</t>
  </si>
  <si>
    <t>liamhatb@gmx.com</t>
  </si>
  <si>
    <t>Rr5g69c0</t>
  </si>
  <si>
    <t>dylan.upton79@gmx.com</t>
  </si>
  <si>
    <t>ZiLaqXKAeTlXi0pa</t>
  </si>
  <si>
    <t>roqbr7600@gmx.com</t>
  </si>
  <si>
    <t>SuGnuYXxb</t>
  </si>
  <si>
    <t>gxwwdocnw75@gmx.com</t>
  </si>
  <si>
    <t>QgCIqDFep</t>
  </si>
  <si>
    <t>ueldscpp8608@gmx.com</t>
  </si>
  <si>
    <t>RmThVMFFx</t>
  </si>
  <si>
    <t>sagytxth559@gmx.com</t>
  </si>
  <si>
    <t>LaNJhxEzP</t>
  </si>
  <si>
    <t>lajeancy2000@gmx.com</t>
  </si>
  <si>
    <t>ekfY592g</t>
  </si>
  <si>
    <t>ksylibtclgq5@gmx.com</t>
  </si>
  <si>
    <t>spZSelcvv</t>
  </si>
  <si>
    <t>gRREEImvN</t>
  </si>
  <si>
    <t>ciara.schneider70@gmx.com</t>
  </si>
  <si>
    <t>iRRHzNc6KbX45oGr</t>
  </si>
  <si>
    <t>zevorjypv248@gmx.com</t>
  </si>
  <si>
    <t>AyrjbdgVH</t>
  </si>
  <si>
    <t>yekytdtocir6@gmx.com</t>
  </si>
  <si>
    <t>HYAiRVvzn</t>
  </si>
  <si>
    <t>melvameleen00@gmx.com</t>
  </si>
  <si>
    <t>Yi28nb15</t>
  </si>
  <si>
    <t>qgbnpwnzoimf@gmx.com</t>
  </si>
  <si>
    <t>JvmhXAKdL</t>
  </si>
  <si>
    <t>dzisepznj693@gmx.com</t>
  </si>
  <si>
    <t>QOAEleHTL</t>
  </si>
  <si>
    <t>porshakuizrbkz@gmx.com</t>
  </si>
  <si>
    <t>WpHIwWjq95</t>
  </si>
  <si>
    <t>eowvne512@gmx.com</t>
  </si>
  <si>
    <t>qKVKZfTFB</t>
  </si>
  <si>
    <t>ukxmssjurn@gmx.com</t>
  </si>
  <si>
    <t>JloRQRmMr</t>
  </si>
  <si>
    <t>ommqodfhk51@gmx.com</t>
  </si>
  <si>
    <t>jzEnrlBUw</t>
  </si>
  <si>
    <t>charlesvtx2whe@gmx.com</t>
  </si>
  <si>
    <t>t0w1jMp9lD</t>
  </si>
  <si>
    <t>ldcnwfru6@gmx.com</t>
  </si>
  <si>
    <t>JcdSxAzIP</t>
  </si>
  <si>
    <t>zphuafidw9@gmx.com</t>
  </si>
  <si>
    <t>nJphRDKek</t>
  </si>
  <si>
    <t>gertrude_windler@gmx.com</t>
  </si>
  <si>
    <t>hAXz0TkZDgLvJ</t>
  </si>
  <si>
    <t>opglwkczf527@gmx.com</t>
  </si>
  <si>
    <t>woiMpNeMk</t>
  </si>
  <si>
    <t>peggqhcobmqo@gmx.com</t>
  </si>
  <si>
    <t>BGyEqfyBR</t>
  </si>
  <si>
    <t>bxgcqh748@gmx.com</t>
  </si>
  <si>
    <t>OuGUKYMWO</t>
  </si>
  <si>
    <t>tressabi9m@gmx.com</t>
  </si>
  <si>
    <t>Zgj38w2t</t>
  </si>
  <si>
    <t>auywprset837@gmx.com</t>
  </si>
  <si>
    <t>bXKBPsIvM</t>
  </si>
  <si>
    <t>alcdcliml86@gmx.com</t>
  </si>
  <si>
    <t>Ktbtzwpqi</t>
  </si>
  <si>
    <t>cezlhqcuqxe9@gmx.com</t>
  </si>
  <si>
    <t>GrntYxdJO</t>
  </si>
  <si>
    <t>talia_oberbrunner52@gmx.com</t>
  </si>
  <si>
    <t>haUFWlmqBfzupR9</t>
  </si>
  <si>
    <t>ebslyfitj696@gmx.com</t>
  </si>
  <si>
    <t>IkQYgsWXG</t>
  </si>
  <si>
    <t>t9y2valdez@gmx.com</t>
  </si>
  <si>
    <t>xMzbU2gm</t>
  </si>
  <si>
    <t>benhunter05e@gmx.com</t>
  </si>
  <si>
    <t>tt6B196mn</t>
  </si>
  <si>
    <t>dhdmevzi2@gmx.com</t>
  </si>
  <si>
    <t>jxjNlZGcA</t>
  </si>
  <si>
    <t>major_bartell@gmx.com</t>
  </si>
  <si>
    <t>QuwKh7t9EV5MU</t>
  </si>
  <si>
    <t>rylanffs@gmx.com</t>
  </si>
  <si>
    <t>ziVdvFe7W</t>
  </si>
  <si>
    <t>oliver9v3j@gmx.com</t>
  </si>
  <si>
    <t>chTg49s90t</t>
  </si>
  <si>
    <t>gresznghs@gmx.com</t>
  </si>
  <si>
    <t>MCSrmonOM</t>
  </si>
  <si>
    <t>matlarsonlcm@gmx.com</t>
  </si>
  <si>
    <t>y5J67J16</t>
  </si>
  <si>
    <t>tvajdtkr8207@gmx.com</t>
  </si>
  <si>
    <t>JNIGgQyOG</t>
  </si>
  <si>
    <t>ezraporter21a@gmx.com</t>
  </si>
  <si>
    <t>yrphYUwi5S</t>
  </si>
  <si>
    <t>zgayyfps76@gmx.com</t>
  </si>
  <si>
    <t>ahDEspOkB</t>
  </si>
  <si>
    <t>md4ruiz@gmx.com</t>
  </si>
  <si>
    <t>qe99d6Oa</t>
  </si>
  <si>
    <t>xvjvdn1908@gmx.com</t>
  </si>
  <si>
    <t>OkkjcmXQS</t>
  </si>
  <si>
    <t>uqxtjwv1343@gmx.com</t>
  </si>
  <si>
    <t>CcmgacmRj</t>
  </si>
  <si>
    <t>benmillsscjz@gmx.com</t>
  </si>
  <si>
    <t>rzUDEr5v</t>
  </si>
  <si>
    <t>pmahbac8783@gmx.com</t>
  </si>
  <si>
    <t>PNlpeEBab</t>
  </si>
  <si>
    <t>syrhfkup94@gmx.com</t>
  </si>
  <si>
    <t>rMVWzrXxw</t>
  </si>
  <si>
    <t>starlazenorsmj@gmx.com</t>
  </si>
  <si>
    <t>Jk46jU8h4</t>
  </si>
  <si>
    <t>tglxhimrek11@gmx.com</t>
  </si>
  <si>
    <t>oZNSkAVyJ</t>
  </si>
  <si>
    <t>dctzdccnd098@gmx.com</t>
  </si>
  <si>
    <t>zUcicbuIy</t>
  </si>
  <si>
    <t>warren91@gmx.com</t>
  </si>
  <si>
    <t>EMpE9I0m1VMDHz</t>
  </si>
  <si>
    <t>zoxyufzhop9@gmx.com</t>
  </si>
  <si>
    <t>RstBUYNQR</t>
  </si>
  <si>
    <t>vil_olivia@gmx.com</t>
  </si>
  <si>
    <t>SVlt8BQt</t>
  </si>
  <si>
    <t>davidvuescott@gmx.com</t>
  </si>
  <si>
    <t>u94kNjl5ef</t>
  </si>
  <si>
    <t>charleshy0ell@gmx.com</t>
  </si>
  <si>
    <t>z5w6G65U1w</t>
  </si>
  <si>
    <t>qdevzffng273@gmx.com</t>
  </si>
  <si>
    <t>fhFfXAOHa</t>
  </si>
  <si>
    <t>ftwztsan6287@gmx.com</t>
  </si>
  <si>
    <t>aHdfqcnpO</t>
  </si>
  <si>
    <t>joseph63ford@gmx.com</t>
  </si>
  <si>
    <t>vmI6Sh2YX</t>
  </si>
  <si>
    <t>hgfngx5595@gmx.com</t>
  </si>
  <si>
    <t>mZUvdwYBn</t>
  </si>
  <si>
    <t>lvojxozzkvt5@gmx.com</t>
  </si>
  <si>
    <t>iLnrhoPLo</t>
  </si>
  <si>
    <t>GyTFywyOl</t>
  </si>
  <si>
    <t>uiQwKMnQE</t>
  </si>
  <si>
    <t>tashabatrn@gmx.com</t>
  </si>
  <si>
    <t>ejZv296qb2</t>
  </si>
  <si>
    <t>rbeyxkmcx710@gmx.com</t>
  </si>
  <si>
    <t>PySNDwFtY</t>
  </si>
  <si>
    <t>lpewoon98@gmx.com</t>
  </si>
  <si>
    <t>jsjleTdsb</t>
  </si>
  <si>
    <t>exwrxckif683@gmx.com</t>
  </si>
  <si>
    <t>uxtLmZqTu</t>
  </si>
  <si>
    <t>ezraweavered3v@gmx.com</t>
  </si>
  <si>
    <t>fiA6Nsbx</t>
  </si>
  <si>
    <t>lizziemb3y@gmx.com</t>
  </si>
  <si>
    <t>wRz0wnaBsiH</t>
  </si>
  <si>
    <t>flqowitz@gmx.com</t>
  </si>
  <si>
    <t>mmyaW8N8Y</t>
  </si>
  <si>
    <t>rhondal96bt@gmx.com</t>
  </si>
  <si>
    <t>tI2Ve9238t</t>
  </si>
  <si>
    <t>KOUzyaXTW</t>
  </si>
  <si>
    <t>omgosbssvy@gmx.com</t>
  </si>
  <si>
    <t>VEtqpEzdV</t>
  </si>
  <si>
    <t>xmdhbq3458@gmx.com</t>
  </si>
  <si>
    <t>uMefbeZfZ</t>
  </si>
  <si>
    <t>graysonazpet@gmx.com</t>
  </si>
  <si>
    <t>Hxffr2bw</t>
  </si>
  <si>
    <t>ianhezkxa94@gmx.com</t>
  </si>
  <si>
    <t>AxUHbRqXp</t>
  </si>
  <si>
    <t>wyattbrown5av@gmx.com</t>
  </si>
  <si>
    <t>aunwE9cb5b</t>
  </si>
  <si>
    <t>hassan_marks@gmx.com</t>
  </si>
  <si>
    <t>N7kLdd3gCn36</t>
  </si>
  <si>
    <t>yukboptpgac8@gmx.com</t>
  </si>
  <si>
    <t>eyZVdrGjz</t>
  </si>
  <si>
    <t>tlkrcdrjecxo@gmx.com</t>
  </si>
  <si>
    <t>cPYOwxGsh</t>
  </si>
  <si>
    <t>mateouoe@gmx.com</t>
  </si>
  <si>
    <t>j09ptiOs</t>
  </si>
  <si>
    <t>wvijfomwe46@gmx.com</t>
  </si>
  <si>
    <t>uyVAqWEYm</t>
  </si>
  <si>
    <t>mmcijoy76@gmx.com</t>
  </si>
  <si>
    <t>TeThQJbWy</t>
  </si>
  <si>
    <t>lucasnelson27@gmx.com</t>
  </si>
  <si>
    <t>io4uqiyyD</t>
  </si>
  <si>
    <t>ichampdz292@gmx.com</t>
  </si>
  <si>
    <t>GSAHTVkdW</t>
  </si>
  <si>
    <t>tfjjbhzhjq1@gmx.com</t>
  </si>
  <si>
    <t>BggXDnFxC</t>
  </si>
  <si>
    <t>david38z4hansen@gmx.com</t>
  </si>
  <si>
    <t>smariv6Qwq</t>
  </si>
  <si>
    <t>apzqawp289@gmx.com</t>
  </si>
  <si>
    <t>MrmpTysqp</t>
  </si>
  <si>
    <t>suxkaea45ta@gmx.com</t>
  </si>
  <si>
    <t>OUMBuZDpi</t>
  </si>
  <si>
    <t>vbtxrsemibo3@gmx.com</t>
  </si>
  <si>
    <t>TcjNhPEue</t>
  </si>
  <si>
    <t>xhwxgkzhrzgw@gmx.com</t>
  </si>
  <si>
    <t>LQriggRwl</t>
  </si>
  <si>
    <t>afssnvnsn@gmx.com</t>
  </si>
  <si>
    <t>wrsmNkONZ</t>
  </si>
  <si>
    <t>uedvffiias@gmx.com</t>
  </si>
  <si>
    <t>JfYDJEZjJ</t>
  </si>
  <si>
    <t>eula8v4sax@gmx.com</t>
  </si>
  <si>
    <t>Mxhzh7pj</t>
  </si>
  <si>
    <t>buford_farrell84@gmx.com</t>
  </si>
  <si>
    <t>w7PWQzQl6QxFJ1x</t>
  </si>
  <si>
    <t>anettenome@gmx.com</t>
  </si>
  <si>
    <t>SOt8Wi3U</t>
  </si>
  <si>
    <t>csdmv4440@gmx.com</t>
  </si>
  <si>
    <t>FXZVSrKKk</t>
  </si>
  <si>
    <t>yktmksmj4@gmx.com</t>
  </si>
  <si>
    <t>ezihAADrm</t>
  </si>
  <si>
    <t>asgkzwemqg11@gmx.com</t>
  </si>
  <si>
    <t>mClGVTVmS</t>
  </si>
  <si>
    <t>zqumge751@gmx.com</t>
  </si>
  <si>
    <t>NOVFwQuaA</t>
  </si>
  <si>
    <t>chuavrhs072@gmx.com</t>
  </si>
  <si>
    <t>IyFGXNCcq</t>
  </si>
  <si>
    <t>minruhbxady@gmx.com</t>
  </si>
  <si>
    <t>EUgdhQFlf</t>
  </si>
  <si>
    <t>rosariason7byo@gmx.com</t>
  </si>
  <si>
    <t>zpLud14p9</t>
  </si>
  <si>
    <t>carrie59@gmx.com</t>
  </si>
  <si>
    <t>qk80x8ci5BNC3kwR</t>
  </si>
  <si>
    <t>erminiaqemneu@gmx.com</t>
  </si>
  <si>
    <t>zwBKppcr2</t>
  </si>
  <si>
    <t>moses51@gmx.com</t>
  </si>
  <si>
    <t>AXG20jw2titjQD9</t>
  </si>
  <si>
    <t>imp_romana@gmx.com</t>
  </si>
  <si>
    <t>dww9exo39I</t>
  </si>
  <si>
    <t>ethanmendez73h@gmx.com</t>
  </si>
  <si>
    <t>wdjI4V7y</t>
  </si>
  <si>
    <t>mateodu8palmer@gmx.com</t>
  </si>
  <si>
    <t>S43uLopv</t>
  </si>
  <si>
    <t>enaxlyhsh@gmx.com</t>
  </si>
  <si>
    <t>VeYvROWHN</t>
  </si>
  <si>
    <t>oyflfbv5093@gmx.com</t>
  </si>
  <si>
    <t>wzbzpdxUM</t>
  </si>
  <si>
    <t>yilibohap@gmx.com</t>
  </si>
  <si>
    <t>aUegdJUbi</t>
  </si>
  <si>
    <t>garrick.grady@gmx.com</t>
  </si>
  <si>
    <t>sOmlFeWJtm4B0lzD</t>
  </si>
  <si>
    <t>nalqdwpbbum2@gmx.com</t>
  </si>
  <si>
    <t>irOFAaOvV</t>
  </si>
  <si>
    <t>annabell_ullrich@gmx.com</t>
  </si>
  <si>
    <t>2y5f1rzh4P1y6es</t>
  </si>
  <si>
    <t>isirutanal3@gmx.com</t>
  </si>
  <si>
    <t>w489eNXPFp</t>
  </si>
  <si>
    <t>ZEmcTHqYK</t>
  </si>
  <si>
    <t>lwusxqdcvl@gmx.com</t>
  </si>
  <si>
    <t>xolxPENaw</t>
  </si>
  <si>
    <t>t8ualline@gmx.com</t>
  </si>
  <si>
    <t>p92lSldhr</t>
  </si>
  <si>
    <t>wkuxtomiho92@gmx.com</t>
  </si>
  <si>
    <t>zAWVyTPMx</t>
  </si>
  <si>
    <t>mpvoz3496@gmx.com</t>
  </si>
  <si>
    <t>IKPluOYNt</t>
  </si>
  <si>
    <t>mozellag2h@gmx.com</t>
  </si>
  <si>
    <t>P52iV3y49</t>
  </si>
  <si>
    <t>qtjkb7487@gmx.com</t>
  </si>
  <si>
    <t>DALoxYZAy</t>
  </si>
  <si>
    <t>gjtbja@gmx.com</t>
  </si>
  <si>
    <t>W4l8oN2uh</t>
  </si>
  <si>
    <t>xnjyyfig0764@gmx.com</t>
  </si>
  <si>
    <t>uvCWpSAba</t>
  </si>
  <si>
    <t>pkbjhfxwt2@gmx.com</t>
  </si>
  <si>
    <t>GVUEnSyPb</t>
  </si>
  <si>
    <t>thomas775wal@gmx.com</t>
  </si>
  <si>
    <t>Gx7473g60J</t>
  </si>
  <si>
    <t>ginaruo@gmx.com</t>
  </si>
  <si>
    <t>fsN4arhey</t>
  </si>
  <si>
    <t>hlilcfp11@gmx.com</t>
  </si>
  <si>
    <t>oYcWBeTIT</t>
  </si>
  <si>
    <t>wyattgongapx@gmx.com</t>
  </si>
  <si>
    <t>aKnGuT5Lk3</t>
  </si>
  <si>
    <t>grnvci796@gmx.com</t>
  </si>
  <si>
    <t>qmzlZwXkT</t>
  </si>
  <si>
    <t>zspsmweem327@gmx.com</t>
  </si>
  <si>
    <t>TjUVwnRnp</t>
  </si>
  <si>
    <t>nfcqkv7256@gmx.com</t>
  </si>
  <si>
    <t>xqtdtXUVO</t>
  </si>
  <si>
    <t>zeldavanmncv@gmx.com</t>
  </si>
  <si>
    <t>beV5u860g</t>
  </si>
  <si>
    <t>courtneyllic@gmx.com</t>
  </si>
  <si>
    <t>lGs28TiOq</t>
  </si>
  <si>
    <t>asherr1bell@gmx.com</t>
  </si>
  <si>
    <t>he8E05pa</t>
  </si>
  <si>
    <t>zbtot8589@gmx.com</t>
  </si>
  <si>
    <t>rdQkrxZUN</t>
  </si>
  <si>
    <t>juston.ledner@gmx.com</t>
  </si>
  <si>
    <t>kK1Jk77rvomjrF3J</t>
  </si>
  <si>
    <t>hildegard_lueilwitz@gmx.com</t>
  </si>
  <si>
    <t>h6Q8F9BD8teyS</t>
  </si>
  <si>
    <t>mjbpseurofa4@gmx.com</t>
  </si>
  <si>
    <t>LsCUOtMRp</t>
  </si>
  <si>
    <t>henrythomas71@gmx.com</t>
  </si>
  <si>
    <t>gAk39Pije</t>
  </si>
  <si>
    <t>vdgfetkv565@gmx.com</t>
  </si>
  <si>
    <t>uaIaNUXlD</t>
  </si>
  <si>
    <t>lhunbq9292@gmx.com</t>
  </si>
  <si>
    <t>aTXwRAGNG</t>
  </si>
  <si>
    <t>ypjgjkplbvk@gmx.com</t>
  </si>
  <si>
    <t>wiIbJRqxh</t>
  </si>
  <si>
    <t>zawymkuafw98@gmx.com</t>
  </si>
  <si>
    <t>SJmOsOriQ</t>
  </si>
  <si>
    <t>BpFBCsucl</t>
  </si>
  <si>
    <t>dmkokwtxt@gmx.com</t>
  </si>
  <si>
    <t>ezbWSMCPA</t>
  </si>
  <si>
    <t>tWXMOjlza</t>
  </si>
  <si>
    <t>lysanne_wilkinson@gmx.com</t>
  </si>
  <si>
    <t>ni4yaBcMo6Kb0X</t>
  </si>
  <si>
    <t>jeromy_sauer@gmx.com</t>
  </si>
  <si>
    <t>R7kYK1ZKhWphvpa9</t>
  </si>
  <si>
    <t>harmonberts5@gmx.com</t>
  </si>
  <si>
    <t>xfW9pfsF</t>
  </si>
  <si>
    <t>vfyfogsvwj@gmx.com</t>
  </si>
  <si>
    <t>OVfYFOstD</t>
  </si>
  <si>
    <t>carteragujj@gmx.com</t>
  </si>
  <si>
    <t>F2nuNxdg</t>
  </si>
  <si>
    <t>anuqfdpj71@gmx.com</t>
  </si>
  <si>
    <t>UgdninlWB</t>
  </si>
  <si>
    <t>fdezrswlmhb@gmx.com</t>
  </si>
  <si>
    <t>TkMuIpfrb</t>
  </si>
  <si>
    <t>cmyztt5911@gmx.com</t>
  </si>
  <si>
    <t>yGezHKUoG</t>
  </si>
  <si>
    <t>csgoccscn@gmx.com</t>
  </si>
  <si>
    <t>kYIvNAYGt</t>
  </si>
  <si>
    <t>ygvdwylikpl9@gmx.com</t>
  </si>
  <si>
    <t>gMYsDdKny</t>
  </si>
  <si>
    <t>lyovuiwgot@gmx.com</t>
  </si>
  <si>
    <t>rcEaKPMEf</t>
  </si>
  <si>
    <t>zjtku9149@gmx.com</t>
  </si>
  <si>
    <t>gSpAezxjG</t>
  </si>
  <si>
    <t>pjplhzdve024@gmx.com</t>
  </si>
  <si>
    <t>pjssbCcBo</t>
  </si>
  <si>
    <t>zwmfkiw22@gmx.com</t>
  </si>
  <si>
    <t>pnmETAkYT</t>
  </si>
  <si>
    <t>heolcrus9wi@gmx.com</t>
  </si>
  <si>
    <t>AbWvnixCd</t>
  </si>
  <si>
    <t>diamanda8v1gv@gmx.com</t>
  </si>
  <si>
    <t>M2Z7Atd0</t>
  </si>
  <si>
    <t>lcfddcpehb9@gmx.com</t>
  </si>
  <si>
    <t>HWAinvXxh</t>
  </si>
  <si>
    <t>barton_wiegand44@gmx.com</t>
  </si>
  <si>
    <t>9QdBZ7rBdUwAKU2</t>
  </si>
  <si>
    <t>elwin.dibbert47@gmx.com</t>
  </si>
  <si>
    <t>bkLaDOFKB0SBGYvA</t>
  </si>
  <si>
    <t>josephmuz2porter@gmx.com</t>
  </si>
  <si>
    <t>arTtYsMQZ3</t>
  </si>
  <si>
    <t>thomasvargas1tgp@gmx.com</t>
  </si>
  <si>
    <t>wli7HUuK9</t>
  </si>
  <si>
    <t>henrya23@gmx.com</t>
  </si>
  <si>
    <t>m21b2srVFh</t>
  </si>
  <si>
    <t>mdvvtlxgnfp@gmx.com</t>
  </si>
  <si>
    <t>xtLGWODTL</t>
  </si>
  <si>
    <t>igqbqkujpd0@gmx.com</t>
  </si>
  <si>
    <t>DlcIhvNHy</t>
  </si>
  <si>
    <t>jackallent6@gmx.com</t>
  </si>
  <si>
    <t>p4ey24sU2</t>
  </si>
  <si>
    <t>wanfh5ofusaro@gmx.com</t>
  </si>
  <si>
    <t>Zrh4ddQC0</t>
  </si>
  <si>
    <t>nfavqhnx0154@gmx.com</t>
  </si>
  <si>
    <t>VDxrBiNtZ</t>
  </si>
  <si>
    <t>jamie_jones37@gmx.com</t>
  </si>
  <si>
    <t>VWSlEqJ8vkkuyD</t>
  </si>
  <si>
    <t>sebgarciasyes@gmx.com</t>
  </si>
  <si>
    <t>qs2Oj27v7G</t>
  </si>
  <si>
    <t>gjaeqte94cq@gmx.com</t>
  </si>
  <si>
    <t>VhgbiKyRy</t>
  </si>
  <si>
    <t>alexanderswou@gmx.com</t>
  </si>
  <si>
    <t>UqOA5Iof3</t>
  </si>
  <si>
    <t>olaczwvjvq67@gmx.com</t>
  </si>
  <si>
    <t>bliripFEx</t>
  </si>
  <si>
    <t>qbhvgom13@gmx.com</t>
  </si>
  <si>
    <t>fMHRGLxIg</t>
  </si>
  <si>
    <t>lgjnnyjig@gmx.com</t>
  </si>
  <si>
    <t>YXqafKyGG</t>
  </si>
  <si>
    <t>lpzzktfbyu9@gmx.com</t>
  </si>
  <si>
    <t>NnRnQDKXR</t>
  </si>
  <si>
    <t>blanca.dibbert@gmx.com</t>
  </si>
  <si>
    <t>nGrPo1uYYiWj</t>
  </si>
  <si>
    <t>gfshqnr743@gmx.us</t>
  </si>
  <si>
    <t>kiOHBVXWl</t>
  </si>
  <si>
    <t>ucqvygzxafoh@gmx.us</t>
  </si>
  <si>
    <t>LDWHluoOW</t>
  </si>
  <si>
    <t>bnsvzckkoct@gmx.us</t>
  </si>
  <si>
    <t>zZsJqUHMK</t>
  </si>
  <si>
    <t>mzfpci2413@gmx.us</t>
  </si>
  <si>
    <t>jhJbiMMfJ</t>
  </si>
  <si>
    <t>lifldtqa1@gmx.us</t>
  </si>
  <si>
    <t>hBvdVrgIV</t>
  </si>
  <si>
    <t>rygqopat4@gmx.us</t>
  </si>
  <si>
    <t>CZMBPLCxe</t>
  </si>
  <si>
    <t>audfcjzrh@gmx.us</t>
  </si>
  <si>
    <t>VWERzArqg</t>
  </si>
  <si>
    <t>kpmgfskwd482@gmx.us</t>
  </si>
  <si>
    <t>zoBuoMKyL</t>
  </si>
  <si>
    <t>ztwqrdckd@gmx.us</t>
  </si>
  <si>
    <t>AYzNqtHGb</t>
  </si>
  <si>
    <t>jjepod981@gmx.us</t>
  </si>
  <si>
    <t>IUafXPAgD</t>
  </si>
  <si>
    <t>ojrmcpepwnr@gmx.us</t>
  </si>
  <si>
    <t>khxtVsgCQ</t>
  </si>
  <si>
    <t>blfndebas51@gmx.us</t>
  </si>
  <si>
    <t>vzuuVdMTW</t>
  </si>
  <si>
    <t>hwtjnxxsggy3@gmx.us</t>
  </si>
  <si>
    <t>LBtmCZjXS</t>
  </si>
  <si>
    <t>lLGiIkgZM</t>
  </si>
  <si>
    <t>jWXXPwNyv</t>
  </si>
  <si>
    <t>glfjuekia3@gmx.us</t>
  </si>
  <si>
    <t>zSJoFQeUq</t>
  </si>
  <si>
    <t>usqmdtdau5@gmx.us</t>
  </si>
  <si>
    <t>XQGElpdVi</t>
  </si>
  <si>
    <t>sxlxpspy64@gmx.us</t>
  </si>
  <si>
    <t>iUGxfnHJG</t>
  </si>
  <si>
    <t>hdsmmewr9@gmx.us</t>
  </si>
  <si>
    <t>brsbSJVmp</t>
  </si>
  <si>
    <t>icufvdhlcye@gmx.us</t>
  </si>
  <si>
    <t>RIjQWCYzN</t>
  </si>
  <si>
    <t>sogwfuxeth@gmx.us</t>
  </si>
  <si>
    <t>QWLrrtnJB</t>
  </si>
  <si>
    <t>tjqdechaah70@gmx.us</t>
  </si>
  <si>
    <t>yKNfJoUpd</t>
  </si>
  <si>
    <t>fywsaqybpcus@gmx.us</t>
  </si>
  <si>
    <t>isVWJTPJa</t>
  </si>
  <si>
    <t>cdciqntobz@gmx.us</t>
  </si>
  <si>
    <t>TIayqgkSl</t>
  </si>
  <si>
    <t>gkexaabdtad1@gmx.us</t>
  </si>
  <si>
    <t>sfPlTeEiR</t>
  </si>
  <si>
    <t>worlef060@gmx.us</t>
  </si>
  <si>
    <t>RHUAirPZc</t>
  </si>
  <si>
    <t>hjasilmyaa@gmx.us</t>
  </si>
  <si>
    <t>oReSXUsbI</t>
  </si>
  <si>
    <t>jsiqldlyrq@gmx.us</t>
  </si>
  <si>
    <t>AKOPaMltN</t>
  </si>
  <si>
    <t>mcvdmava390@gmx.us</t>
  </si>
  <si>
    <t>SjgALgMak</t>
  </si>
  <si>
    <t>rangfabjidorecdp@gmx.net</t>
  </si>
  <si>
    <t>TzXer2kSUp</t>
  </si>
  <si>
    <t>zfremeggmcf@gmx.us</t>
  </si>
  <si>
    <t>XdyltPKPP</t>
  </si>
  <si>
    <t>ccefglsy7871@gmx.us</t>
  </si>
  <si>
    <t>VzLbungfx</t>
  </si>
  <si>
    <t>PBogPTizk</t>
  </si>
  <si>
    <t>igkeyzbouu9@gmx.us</t>
  </si>
  <si>
    <t>afQITfNgt</t>
  </si>
  <si>
    <t>czxazdm526@gmx.us</t>
  </si>
  <si>
    <t>hOmYGfogD</t>
  </si>
  <si>
    <t>gocxccyr581@gmx.us</t>
  </si>
  <si>
    <t>HFmyUozBR</t>
  </si>
  <si>
    <t>ujorvyhqlh@gmx.us</t>
  </si>
  <si>
    <t>ixgbQEapd</t>
  </si>
  <si>
    <t>pabizyjsm@gmx.us</t>
  </si>
  <si>
    <t>yidewBqxZ</t>
  </si>
  <si>
    <t>gaacgmyecq12@gmx.us</t>
  </si>
  <si>
    <t>hihVCprRu</t>
  </si>
  <si>
    <t>ckoodcwjxw44@gmx.us</t>
  </si>
  <si>
    <t>tuMkiAhlT</t>
  </si>
  <si>
    <t>billrwkbsti6@gmx.us</t>
  </si>
  <si>
    <t>pXLrDDJbE</t>
  </si>
  <si>
    <t>adsnnm447@gmx.us</t>
  </si>
  <si>
    <t>zEnfVdjvT</t>
  </si>
  <si>
    <t>ddavkzwbh94@gmx.us</t>
  </si>
  <si>
    <t>WXNkmYyMi</t>
  </si>
  <si>
    <t>cqebo7158@gmx.us</t>
  </si>
  <si>
    <t>MHFRptwHY</t>
  </si>
  <si>
    <t>sryvcbilktz4@gmx.us</t>
  </si>
  <si>
    <t>PgWIzHgmF</t>
  </si>
  <si>
    <t>regvomgrr44@gmx.us</t>
  </si>
  <si>
    <t>oKRblDusF</t>
  </si>
  <si>
    <t>dhzztncp571@gmx.us</t>
  </si>
  <si>
    <t>SvLBsQxat</t>
  </si>
  <si>
    <t>mznhscwrj@gmx.us</t>
  </si>
  <si>
    <t>dTrUlsLui</t>
  </si>
  <si>
    <t>bmdfpxjtda5@gmx.us</t>
  </si>
  <si>
    <t>ZyHpSGaBa</t>
  </si>
  <si>
    <t>dhqaxt4652@gmx.us</t>
  </si>
  <si>
    <t>ANBXdJclf</t>
  </si>
  <si>
    <t>hwdxxuuhmhwg@gmx.us</t>
  </si>
  <si>
    <t>fWyopyZWd</t>
  </si>
  <si>
    <t>tchzlfvz1525@gmx.us</t>
  </si>
  <si>
    <t>LJhkQymtu</t>
  </si>
  <si>
    <t>vphkwzrme674@gmx.us</t>
  </si>
  <si>
    <t>AlUHFpLGa</t>
  </si>
  <si>
    <t>wsiomhs70@gmx.us</t>
  </si>
  <si>
    <t>exxelAbfi</t>
  </si>
  <si>
    <t>dsoigowg7428@gmx.us</t>
  </si>
  <si>
    <t>bRlLdqtzB</t>
  </si>
  <si>
    <t>jfkishoul9@gmx.us</t>
  </si>
  <si>
    <t>DtvlccNqj</t>
  </si>
  <si>
    <t>avmufg512@gmx.us</t>
  </si>
  <si>
    <t>omdmdunzP</t>
  </si>
  <si>
    <t>hjlhqinbpz32@gmx.us</t>
  </si>
  <si>
    <t>JSTcJDrlo</t>
  </si>
  <si>
    <t>rwehdem057@gmx.us</t>
  </si>
  <si>
    <t>mhgsDIqsc</t>
  </si>
  <si>
    <t>mbxfdb1379@gmx.us</t>
  </si>
  <si>
    <t>nLCeaTsjm</t>
  </si>
  <si>
    <t>htkzztncq3@gmx.us</t>
  </si>
  <si>
    <t>JBdZpTatg</t>
  </si>
  <si>
    <t>yteiok3657@gmx.us</t>
  </si>
  <si>
    <t>qHuooYeXv</t>
  </si>
  <si>
    <t>fmozialgc6@gmx.us</t>
  </si>
  <si>
    <t>iUHrcIkbh</t>
  </si>
  <si>
    <t>xzssVKSsu</t>
  </si>
  <si>
    <t>KmDojaSHH</t>
  </si>
  <si>
    <t>lXQBmzImH</t>
  </si>
  <si>
    <t>kgbemgzp024@gmx.us</t>
  </si>
  <si>
    <t>OJcUWBIYg</t>
  </si>
  <si>
    <t>PpHpQfojW</t>
  </si>
  <si>
    <t>zpucpohwpd@gmx.us</t>
  </si>
  <si>
    <t>WAMkquvur</t>
  </si>
  <si>
    <t>wwbqawry111@gmx.us</t>
  </si>
  <si>
    <t>EnxwHKixB</t>
  </si>
  <si>
    <t>mqyTAiAbO</t>
  </si>
  <si>
    <t>vpwdrkdobgp@gmx.us</t>
  </si>
  <si>
    <t>JIvSfcyRT</t>
  </si>
  <si>
    <t>xjphudhkiy36@gmx.us</t>
  </si>
  <si>
    <t>sEyDvleIY</t>
  </si>
  <si>
    <t>qIbSLwbzq</t>
  </si>
  <si>
    <t>bTnfYXlac</t>
  </si>
  <si>
    <t>YneWpXKOc</t>
  </si>
  <si>
    <t>cssdeIBko</t>
  </si>
  <si>
    <t>UezEXxbxW</t>
  </si>
  <si>
    <t>bvkvwfdzmle@gmx.us</t>
  </si>
  <si>
    <t>EcHzEgRIo</t>
  </si>
  <si>
    <t>xhqyjbrowu@gmx.us</t>
  </si>
  <si>
    <t>vVdFTTtQL</t>
  </si>
  <si>
    <t>npbdzpzdjst9@gmx.us</t>
  </si>
  <si>
    <t>amakiUgVo</t>
  </si>
  <si>
    <t>BLldQOCGl</t>
  </si>
  <si>
    <t>EJjxOhVTQ</t>
  </si>
  <si>
    <t>bwsmknxk00@gmx.us</t>
  </si>
  <si>
    <t>CyLoQRuCM</t>
  </si>
  <si>
    <t>dzukwtkmt59@gmx.us</t>
  </si>
  <si>
    <t>DOWdqtWzb</t>
  </si>
  <si>
    <t>mapepbfguq9@gmx.us</t>
  </si>
  <si>
    <t>hCsdTvvGB</t>
  </si>
  <si>
    <t>frixeedjou1@gmx.us</t>
  </si>
  <si>
    <t>Ucokhbqas</t>
  </si>
  <si>
    <t>hdfsojyx5684@gmx.us</t>
  </si>
  <si>
    <t>BmLmQVhJd</t>
  </si>
  <si>
    <t>amkweds8826@gmx.us</t>
  </si>
  <si>
    <t>zMqXHZDwB</t>
  </si>
  <si>
    <t>oozgsezciae@gmx.us</t>
  </si>
  <si>
    <t>xVYUpoYvn</t>
  </si>
  <si>
    <t>kIWOHOQpq</t>
  </si>
  <si>
    <t>sedhorikusmal25@gmx.net</t>
  </si>
  <si>
    <t>bQeSt9Aivk</t>
  </si>
  <si>
    <t>casgumdtenciaox@gmx.net</t>
  </si>
  <si>
    <t>oVkmSpmzZf</t>
  </si>
  <si>
    <t>waltinashiidm9@gmx.net</t>
  </si>
  <si>
    <t>2IOc3MpTX2</t>
  </si>
  <si>
    <t>tranwithsdeabacjt@gmx.net</t>
  </si>
  <si>
    <t>6kKYg0ZDrG</t>
  </si>
  <si>
    <t>sipeshimiptin7g@gmx.net</t>
  </si>
  <si>
    <t>Fc1dgdO6Ic</t>
  </si>
  <si>
    <t>nebreibosuinn5@gmx.net</t>
  </si>
  <si>
    <t>J2iorXxxdj</t>
  </si>
  <si>
    <t>centdobgiyatern5@gmx.net</t>
  </si>
  <si>
    <t>ZYS9Qhhhem</t>
  </si>
  <si>
    <t>taichowokatarp7@gmx.net</t>
  </si>
  <si>
    <t>DwDpvGj4uT</t>
  </si>
  <si>
    <t>sunadaihand1i@gmx.net</t>
  </si>
  <si>
    <t>qeJRgyluVs</t>
  </si>
  <si>
    <t>postlehikovixg@gmx.net</t>
  </si>
  <si>
    <t>QzGz0rZBaj</t>
  </si>
  <si>
    <t>icimtennterm5@gmx.net</t>
  </si>
  <si>
    <t>B4payF9hWr</t>
  </si>
  <si>
    <t>meidogtzuganontm@gmx.net</t>
  </si>
  <si>
    <t>f3uoPxXQKb</t>
  </si>
  <si>
    <t>garthsmiltenviamy@gmx.net</t>
  </si>
  <si>
    <t>HXaApIxye5</t>
  </si>
  <si>
    <t>anergaisteersi@gmx.net</t>
  </si>
  <si>
    <t>BhlQMxfPFL</t>
  </si>
  <si>
    <t>protriimichivenvs@gmx.net</t>
  </si>
  <si>
    <t>J23ZbuFSaJ</t>
  </si>
  <si>
    <t>bicineruitxl@gmx.net</t>
  </si>
  <si>
    <t>yFajXv2xL1</t>
  </si>
  <si>
    <t>smatictsumacoun0q@gmx.net</t>
  </si>
  <si>
    <t>hyRgkzn7jV</t>
  </si>
  <si>
    <t>coapalmnmamentdi@gmx.net</t>
  </si>
  <si>
    <t>gtmxwrF04T</t>
  </si>
  <si>
    <t>costravhoosmug8u@gmx.net</t>
  </si>
  <si>
    <t>uBmO6GpnnZ</t>
  </si>
  <si>
    <t>themibuiro6k@gmx.net</t>
  </si>
  <si>
    <t>OH27MFKpGq</t>
  </si>
  <si>
    <t>renfmulyochiwhit2y@gmx.net</t>
  </si>
  <si>
    <t>PXsjY7vHQh</t>
  </si>
  <si>
    <t>h3wiUdHzsf</t>
  </si>
  <si>
    <t>filfodeshidiav4@gmx.net</t>
  </si>
  <si>
    <t>L33Cwv9Yfh</t>
  </si>
  <si>
    <t>flagpingkishiporaj@gmx.net</t>
  </si>
  <si>
    <t>fFyvbJ85Tg</t>
  </si>
  <si>
    <t>puncbungguncoqq@gmx.net</t>
  </si>
  <si>
    <t>5ztTmLQMAv</t>
  </si>
  <si>
    <t>naniteicroc8f@gmx.net</t>
  </si>
  <si>
    <t>ItvdK8K2iF</t>
  </si>
  <si>
    <t>pinpsubpekodiymu@gmx.net</t>
  </si>
  <si>
    <t>98e4LkKq8G</t>
  </si>
  <si>
    <t>teispamyakunutrj6@gmx.net</t>
  </si>
  <si>
    <t>XsYMZ22x81</t>
  </si>
  <si>
    <t>unenwosasac4k@gmx.net</t>
  </si>
  <si>
    <t>V0DhU1ZzPo</t>
  </si>
  <si>
    <t>huloraneer0x@gmx.net</t>
  </si>
  <si>
    <t>IHSGzAif13</t>
  </si>
  <si>
    <t>halfordkeidreamaa@gmx.net</t>
  </si>
  <si>
    <t>yytYbia4ov</t>
  </si>
  <si>
    <t>hatlauronsahj@gmx.net</t>
  </si>
  <si>
    <t>oZTtQoX3c0</t>
  </si>
  <si>
    <t>medarusawedgst@gmx.net</t>
  </si>
  <si>
    <t>RKto69ERQy</t>
  </si>
  <si>
    <t>soestatshikimal0@gmx.net</t>
  </si>
  <si>
    <t>hxu8PAgShJ</t>
  </si>
  <si>
    <t>chisebredaer2m@gmx.net</t>
  </si>
  <si>
    <t>n3fomj8slR</t>
  </si>
  <si>
    <t>unimmetsuacpw@gmx.net</t>
  </si>
  <si>
    <t>YnO2GvpASz</t>
  </si>
  <si>
    <t>flexivyamecommv@gmx.net</t>
  </si>
  <si>
    <t>JmuAEmB7ob</t>
  </si>
  <si>
    <t>dersblogranutinge6@gmx.net</t>
  </si>
  <si>
    <t>uDyDwU5gBb</t>
  </si>
  <si>
    <t>llemantonacomcd@gmx.net</t>
  </si>
  <si>
    <t>ZvfwTKVDNQ</t>
  </si>
  <si>
    <t>meporzukedo4q@gmx.net</t>
  </si>
  <si>
    <t>D5IxnFLNUC</t>
  </si>
  <si>
    <t>mmfcaup9305@gmx.us</t>
  </si>
  <si>
    <t>wgFGotEzx</t>
  </si>
  <si>
    <t>tidremkcqd46@gmx.us</t>
  </si>
  <si>
    <t>bEierRosW</t>
  </si>
  <si>
    <t>gdwuznhx7120@gmx.us</t>
  </si>
  <si>
    <t>BFCrbElag</t>
  </si>
  <si>
    <t>amisjevshywn@gmx.us</t>
  </si>
  <si>
    <t>ESqdNMzLb</t>
  </si>
  <si>
    <t>kgjIlIDeR</t>
  </si>
  <si>
    <t>fhhumxjmls@gmx.us</t>
  </si>
  <si>
    <t>TLuTgTNkK</t>
  </si>
  <si>
    <t>umbsf0003@gmx.us</t>
  </si>
  <si>
    <t>wavXXkqko</t>
  </si>
  <si>
    <t>qjsvjohvnv38@gmx.us</t>
  </si>
  <si>
    <t>bdoSKXwLp</t>
  </si>
  <si>
    <t>xqlyecwwmrny@gmx.us</t>
  </si>
  <si>
    <t>xgzyBZxFS</t>
  </si>
  <si>
    <t>mHcmBAwDI</t>
  </si>
  <si>
    <t>wuezapmtd19@gmx.us</t>
  </si>
  <si>
    <t>XByFVudTl</t>
  </si>
  <si>
    <t>iahtvypr430@gmx.us</t>
  </si>
  <si>
    <t>zKquIpYpo</t>
  </si>
  <si>
    <t>niupfbzokbb@gmx.us</t>
  </si>
  <si>
    <t>QIVHgcMwt</t>
  </si>
  <si>
    <t>cmjpqcpmhbo@gmx.us</t>
  </si>
  <si>
    <t>KNXXFuTTy</t>
  </si>
  <si>
    <t>czpnnausyl3@gmx.us</t>
  </si>
  <si>
    <t>vePzmcQrq</t>
  </si>
  <si>
    <t>aqaxvgdl038@gmx.us</t>
  </si>
  <si>
    <t>hhcopmJjC</t>
  </si>
  <si>
    <t>yneoner80@gmx.us</t>
  </si>
  <si>
    <t>hnKUveZgp</t>
  </si>
  <si>
    <t>inndyytj00@gmx.us</t>
  </si>
  <si>
    <t>bkdbRqZxE</t>
  </si>
  <si>
    <t>pzxalizbwv@gmx.us</t>
  </si>
  <si>
    <t>VFewTNgwC</t>
  </si>
  <si>
    <t>edywey9475@gmx.us</t>
  </si>
  <si>
    <t>bgOvTqQsE</t>
  </si>
  <si>
    <t>nqabim721@gmx.us</t>
  </si>
  <si>
    <t>ozxIrcYOC</t>
  </si>
  <si>
    <t>pmbdaubinfy@gmx.us</t>
  </si>
  <si>
    <t>WCzOHrJGZ</t>
  </si>
  <si>
    <t>qaqqunlu04@gmx.us</t>
  </si>
  <si>
    <t>wnlEtMNVY</t>
  </si>
  <si>
    <t>xshrkoofgb@gmx.us</t>
  </si>
  <si>
    <t>fJChdVMcA</t>
  </si>
  <si>
    <t>PZKJzXuQk</t>
  </si>
  <si>
    <t>hslbbrt27@gmx.us</t>
  </si>
  <si>
    <t>sRyZqgdxo</t>
  </si>
  <si>
    <t>qkwmhnzk90@gmx.us</t>
  </si>
  <si>
    <t>pVPVhGDSX</t>
  </si>
  <si>
    <t>ctbqpxvaeu3@gmx.us</t>
  </si>
  <si>
    <t>NzLmhHfwj</t>
  </si>
  <si>
    <t>spcsvugtk253@gmx.us</t>
  </si>
  <si>
    <t>BgpKDsIfz</t>
  </si>
  <si>
    <t>rdjgooujeh87@gmx.us</t>
  </si>
  <si>
    <t>JXptAZWDe</t>
  </si>
  <si>
    <t>yejso6347@gmx.us</t>
  </si>
  <si>
    <t>jiiLcjrSF</t>
  </si>
  <si>
    <t>ctpyanrkbf@gmx.us</t>
  </si>
  <si>
    <t>qOhtFvEqP</t>
  </si>
  <si>
    <t>vunbkqzqf287@gmx.us</t>
  </si>
  <si>
    <t>ldlaQUOdl</t>
  </si>
  <si>
    <t>aonun7771@gmx.us</t>
  </si>
  <si>
    <t>vMonwyjcE</t>
  </si>
  <si>
    <t>jhcbeqng056@gmx.us</t>
  </si>
  <si>
    <t>hFgaWAWGW</t>
  </si>
  <si>
    <t>ieontlsmsb@gmx.us</t>
  </si>
  <si>
    <t>WPEvmnEqL</t>
  </si>
  <si>
    <t>yrcmhhqzk204@gmx.us</t>
  </si>
  <si>
    <t>bthyaRQBv</t>
  </si>
  <si>
    <t>xjoxfcaxy3@gmx.us</t>
  </si>
  <si>
    <t>MrEPWxXer</t>
  </si>
  <si>
    <t>nlbsadawi2@gmx.us</t>
  </si>
  <si>
    <t>DbaxzZngY</t>
  </si>
  <si>
    <t>tnpnimeevun0@gmx.us</t>
  </si>
  <si>
    <t>EegqCkSfJ</t>
  </si>
  <si>
    <t>hhfsncsha26@gmx.us</t>
  </si>
  <si>
    <t>VGrZfpIyX</t>
  </si>
  <si>
    <t>xskjsavht258@gmx.us</t>
  </si>
  <si>
    <t>WYaBtUECe</t>
  </si>
  <si>
    <t>guivtd4508@gmx.us</t>
  </si>
  <si>
    <t>IlZEOEJRR</t>
  </si>
  <si>
    <t>rdlftgfjf478@gmx.us</t>
  </si>
  <si>
    <t>XxbGTgpQt</t>
  </si>
  <si>
    <t>eyutfgpzg224@gmx.us</t>
  </si>
  <si>
    <t>MAlvSrTUT</t>
  </si>
  <si>
    <t>fDkXXdiuY</t>
  </si>
  <si>
    <t>lzmyujbez183@gmx.us</t>
  </si>
  <si>
    <t>ahcIAEZnA</t>
  </si>
  <si>
    <t>imfrlygnx@gmx.us</t>
  </si>
  <si>
    <t>XAuVGiJrB</t>
  </si>
  <si>
    <t>ciufckribys8@gmx.us</t>
  </si>
  <si>
    <t>oboYIwTCb</t>
  </si>
  <si>
    <t>quhzqajlty3@gmx.us</t>
  </si>
  <si>
    <t>JfQWFtmCE</t>
  </si>
  <si>
    <t>ivqhwiha8@gmx.us</t>
  </si>
  <si>
    <t>zgVxRJjRU</t>
  </si>
  <si>
    <t>xnsvsbksh73@gmx.us</t>
  </si>
  <si>
    <t>kVBGgWMTS</t>
  </si>
  <si>
    <t>BUYfoTqCc</t>
  </si>
  <si>
    <t>ubbiaatqy5@gmx.us</t>
  </si>
  <si>
    <t>hFQFHQwSX</t>
  </si>
  <si>
    <t>hujegqznbdw6@gmx.us</t>
  </si>
  <si>
    <t>QgPkgBXUp</t>
  </si>
  <si>
    <t>ijhwaq884@gmx.us</t>
  </si>
  <si>
    <t>KAvBHqFGh</t>
  </si>
  <si>
    <t>txmfvy008@gmx.us</t>
  </si>
  <si>
    <t>WEDlrulZW</t>
  </si>
  <si>
    <t>qutigjnp674@gmx.us</t>
  </si>
  <si>
    <t>hLVuuWsRb</t>
  </si>
  <si>
    <t>ygtaahktn2@gmx.us</t>
  </si>
  <si>
    <t>WQpKWTAPS</t>
  </si>
  <si>
    <t>hjiwnundq060@gmx.us</t>
  </si>
  <si>
    <t>BmSKtPPwD</t>
  </si>
  <si>
    <t>AljChoIeI</t>
  </si>
  <si>
    <t>eswpyhcumix@gmx.us</t>
  </si>
  <si>
    <t>TRUwyURpm</t>
  </si>
  <si>
    <t>vfdwubfjtm@gmx.us</t>
  </si>
  <si>
    <t>AUwpfNZyZ</t>
  </si>
  <si>
    <t>oxskjmntl92@gmx.us</t>
  </si>
  <si>
    <t>kFfozkXon</t>
  </si>
  <si>
    <t>uqvlgdlwtu@gmx.us</t>
  </si>
  <si>
    <t>mVDbkqiZe</t>
  </si>
  <si>
    <t>ncjncrshqh65@gmx.us</t>
  </si>
  <si>
    <t>ODTtqyvIz</t>
  </si>
  <si>
    <t>kypxqjxo0281@gmx.us</t>
  </si>
  <si>
    <t>reVIDyIgR</t>
  </si>
  <si>
    <t>mmrkmltakt@gmx.us</t>
  </si>
  <si>
    <t>JdLnFgLlv</t>
  </si>
  <si>
    <t>rdqnpt3162@gmx.us</t>
  </si>
  <si>
    <t>XrDxnSJvH</t>
  </si>
  <si>
    <t>yfwwuclrtu@gmx.us</t>
  </si>
  <si>
    <t>QfxcnVqQC</t>
  </si>
  <si>
    <t>xyorsvmpzt10@gmx.us</t>
  </si>
  <si>
    <t>kKqqiivmY</t>
  </si>
  <si>
    <t>zigpdoe531@gmx.us</t>
  </si>
  <si>
    <t>KqeEmfyju</t>
  </si>
  <si>
    <t>ubhjjvsth574@gmx.us</t>
  </si>
  <si>
    <t>KuKVIRRtG</t>
  </si>
  <si>
    <t>oajgocuvk06@gmx.us</t>
  </si>
  <si>
    <t>zJsWHNWsO</t>
  </si>
  <si>
    <t>MTSbjYNHu</t>
  </si>
  <si>
    <t>idlasfo59@gmx.us</t>
  </si>
  <si>
    <t>ixbAFAUyr</t>
  </si>
  <si>
    <t>vrvclzdv40@gmx.us</t>
  </si>
  <si>
    <t>nRawPxNFh</t>
  </si>
  <si>
    <t>bvoaksjyjhhq@gmx.us</t>
  </si>
  <si>
    <t>qzuJwTlQl</t>
  </si>
  <si>
    <t>jlkoiw913@gmx.us</t>
  </si>
  <si>
    <t>MpMqEJQxI</t>
  </si>
  <si>
    <t>vixivwkshtq@gmx.us</t>
  </si>
  <si>
    <t>fyHcEUqAF</t>
  </si>
  <si>
    <t>wvyxcsavck@gmx.us</t>
  </si>
  <si>
    <t>OuJiUxXSk</t>
  </si>
  <si>
    <t>lfynwcqq67@gmx.us</t>
  </si>
  <si>
    <t>nckOUNuQZ</t>
  </si>
  <si>
    <t>rmwgslsb819@gmx.us</t>
  </si>
  <si>
    <t>PGJJhcCYA</t>
  </si>
  <si>
    <t>expqunt75@gmx.us</t>
  </si>
  <si>
    <t>jymPLMcxZ</t>
  </si>
  <si>
    <t>zmltizf470@gmx.us</t>
  </si>
  <si>
    <t>TCclenkWr</t>
  </si>
  <si>
    <t>ysjvbhucz58@gmx.us</t>
  </si>
  <si>
    <t>WhzdJbarB</t>
  </si>
  <si>
    <t>hoactbdue432@gmx.us</t>
  </si>
  <si>
    <t>bUvZkeAVe</t>
  </si>
  <si>
    <t>legxjty5876@gmx.us</t>
  </si>
  <si>
    <t>OrprvPaIG</t>
  </si>
  <si>
    <t>rfEHPhkJJ</t>
  </si>
  <si>
    <t>dbkjkpnlv977@gmx.us</t>
  </si>
  <si>
    <t>TcQHjbUqP</t>
  </si>
  <si>
    <t>vhdnjchvp117@gmx.us</t>
  </si>
  <si>
    <t>OCxgQEGSR</t>
  </si>
  <si>
    <t>dcmbzzib1395@gmx.us</t>
  </si>
  <si>
    <t>YsVFXucNY</t>
  </si>
  <si>
    <t>tvwzkuhsm34@gmx.us</t>
  </si>
  <si>
    <t>XfdujNDWK</t>
  </si>
  <si>
    <t>kqdct3922@gmx.us</t>
  </si>
  <si>
    <t>TlFVQVihy</t>
  </si>
  <si>
    <t>mvrchswgh@gmx.us</t>
  </si>
  <si>
    <t>KbefBHTZY</t>
  </si>
  <si>
    <t>wyfvyaqtv2@gmx.us</t>
  </si>
  <si>
    <t>yaavojzBL</t>
  </si>
  <si>
    <t>jjbejykews43@gmx.us</t>
  </si>
  <si>
    <t>zohOkFpKD</t>
  </si>
  <si>
    <t>mlwjgvptu@gmx.us</t>
  </si>
  <si>
    <t>YaxgupPYp</t>
  </si>
  <si>
    <t>tvluamrqgq3@gmx.us</t>
  </si>
  <si>
    <t>nxFemSAUe</t>
  </si>
  <si>
    <t>svlim0634@gmx.us</t>
  </si>
  <si>
    <t>QqVnDNFew</t>
  </si>
  <si>
    <t>inoywfsm9@gmx.us</t>
  </si>
  <si>
    <t>GUBoaSuUy</t>
  </si>
  <si>
    <t>lvsfwzggrg61@gmx.us</t>
  </si>
  <si>
    <t>fUVKOvqMb</t>
  </si>
  <si>
    <t>bhjkkanf9838@gmx.us</t>
  </si>
  <si>
    <t>xqXxOGMfk</t>
  </si>
  <si>
    <t>zxesotypcvbf@gmx.us</t>
  </si>
  <si>
    <t>PCaZHlRFy</t>
  </si>
  <si>
    <t>eqbgh9331@gmx.us</t>
  </si>
  <si>
    <t>ZfujdqZep</t>
  </si>
  <si>
    <t>ubkxaiu303@gmx.us</t>
  </si>
  <si>
    <t>BFDJdhdcf</t>
  </si>
  <si>
    <t>ipnzat7870@gmx.us</t>
  </si>
  <si>
    <t>VtaAAhxhb</t>
  </si>
  <si>
    <t>wypditznb7@gmx.us</t>
  </si>
  <si>
    <t>fwlHJFWBt</t>
  </si>
  <si>
    <t>afqbn8710@gmx.us</t>
  </si>
  <si>
    <t>IAdFtnunW</t>
  </si>
  <si>
    <t>dtzrkcqwo940@gmx.us</t>
  </si>
  <si>
    <t>IcrkeDqnI</t>
  </si>
  <si>
    <t>fmlrrdron04@gmx.us</t>
  </si>
  <si>
    <t>EkJhOCpDB</t>
  </si>
  <si>
    <t>wypwtgjive@gmx.us</t>
  </si>
  <si>
    <t>WXSZdWSvm</t>
  </si>
  <si>
    <t>cnxpawzbudx0@gmx.us</t>
  </si>
  <si>
    <t>HrASVzgwM</t>
  </si>
  <si>
    <t>hlnoyzqnhgi7@gmx.us</t>
  </si>
  <si>
    <t>GLqZOPXKE</t>
  </si>
  <si>
    <t>ChefIpdHF</t>
  </si>
  <si>
    <t>xxlujqjcpngu@gmx.us</t>
  </si>
  <si>
    <t>LhnPegMub</t>
  </si>
  <si>
    <t>vwjdvtttuhs@gmx.us</t>
  </si>
  <si>
    <t>cTodmoEyF</t>
  </si>
  <si>
    <t>hqrxhtarl05@gmx.us</t>
  </si>
  <si>
    <t>LhYpAEWpL</t>
  </si>
  <si>
    <t>ptfrule218@gmx.us</t>
  </si>
  <si>
    <t>EyYmDdtlV</t>
  </si>
  <si>
    <t>pCvhIAFmz</t>
  </si>
  <si>
    <t>wzeevierx@gmx.us</t>
  </si>
  <si>
    <t>RdieFgYzG</t>
  </si>
  <si>
    <t>okzawthoombn@gmx.us</t>
  </si>
  <si>
    <t>JbBvtHrBU</t>
  </si>
  <si>
    <t>gxoijgyndu81@gmx.us</t>
  </si>
  <si>
    <t>wskBVAKHa</t>
  </si>
  <si>
    <t>gcooovdvtv00@gmx.us</t>
  </si>
  <si>
    <t>JJBnJmBvG</t>
  </si>
  <si>
    <t>uphzfofkbrhw@gmx.us</t>
  </si>
  <si>
    <t>KFjKSjGnr</t>
  </si>
  <si>
    <t>fywpmmwtpe@gmx.us</t>
  </si>
  <si>
    <t>AvdJyuIvF</t>
  </si>
  <si>
    <t>pkhntvmtxzkv@gmx.us</t>
  </si>
  <si>
    <t>cMAjLeQmj</t>
  </si>
  <si>
    <t>pikyndchyq36@gmx.us</t>
  </si>
  <si>
    <t>lhqRFOLWz</t>
  </si>
  <si>
    <t>lqniawnee24@gmx.us</t>
  </si>
  <si>
    <t>zjRfFYRPh</t>
  </si>
  <si>
    <t>bitsybknw86@gmx.us</t>
  </si>
  <si>
    <t>OqLxJgKnZ</t>
  </si>
  <si>
    <t>fgikzlpqb@gmx.us</t>
  </si>
  <si>
    <t>QdXfMhZNa</t>
  </si>
  <si>
    <t>iikhws292@gmx.us</t>
  </si>
  <si>
    <t>luOmCERVq</t>
  </si>
  <si>
    <t>ndnkbyfbo9@gmx.us</t>
  </si>
  <si>
    <t>QyCXArzQp</t>
  </si>
  <si>
    <t>otxifkmogw@gmx.us</t>
  </si>
  <si>
    <t>XXHNyRsON</t>
  </si>
  <si>
    <t>tdbuafj293@gmx.us</t>
  </si>
  <si>
    <t>kPLIdtMqJ</t>
  </si>
  <si>
    <t>notphemoengy@gmx.us</t>
  </si>
  <si>
    <t>OgmlAUwGU</t>
  </si>
  <si>
    <t>fvbzu4261@gmx.us</t>
  </si>
  <si>
    <t>sBmMaxfPQ</t>
  </si>
  <si>
    <t>vueculi72@gmx.us</t>
  </si>
  <si>
    <t>rlFtIJykP</t>
  </si>
  <si>
    <t>lqhhmexe1@gmx.us</t>
  </si>
  <si>
    <t>HGyiFWhnw</t>
  </si>
  <si>
    <t>hcbhygk4320@gmx.us</t>
  </si>
  <si>
    <t>rVocBHhHL</t>
  </si>
  <si>
    <t>kjkjnrhrlfby@gmx.us</t>
  </si>
  <si>
    <t>tsnMrVLco</t>
  </si>
  <si>
    <t>tcYQapQAI</t>
  </si>
  <si>
    <t>lsbhggtr631@gmx.us</t>
  </si>
  <si>
    <t>CKDIafOKc</t>
  </si>
  <si>
    <t>osluzenpij9@gmx.net</t>
  </si>
  <si>
    <t>riwmEjpIMI</t>
  </si>
  <si>
    <t>projalzenrulk@gmx.net</t>
  </si>
  <si>
    <t>ReSvG3wkfI</t>
  </si>
  <si>
    <t>blacovrakarecbl@gmx.net</t>
  </si>
  <si>
    <t>WXMRPDJoFq</t>
  </si>
  <si>
    <t>matinseihertsx@gmx.net</t>
  </si>
  <si>
    <t>1WMibvWabp</t>
  </si>
  <si>
    <t>arapzumabariq@gmx.net</t>
  </si>
  <si>
    <t>yYSqBCQiqH</t>
  </si>
  <si>
    <t>vencouhazunai7k@gmx.net</t>
  </si>
  <si>
    <t>RaauWphzBs</t>
  </si>
  <si>
    <t>metpersmaneinop@gmx.net</t>
  </si>
  <si>
    <t>uqJGSJ6SNl</t>
  </si>
  <si>
    <t>gainzendekotiaa1@gmx.net</t>
  </si>
  <si>
    <t>jowHwfT0tM</t>
  </si>
  <si>
    <t>edcasheyamingcy@gmx.net</t>
  </si>
  <si>
    <t>rYiaBX9jbN</t>
  </si>
  <si>
    <t>grilboontsurujai74@gmx.net</t>
  </si>
  <si>
    <t>bWZj2UtCI6</t>
  </si>
  <si>
    <t>bookvimushiva1a@gmx.net</t>
  </si>
  <si>
    <t>9ZejEJzdPB</t>
  </si>
  <si>
    <t>emkekeiquib6@gmx.net</t>
  </si>
  <si>
    <t>bwVXr2z18y</t>
  </si>
  <si>
    <t>tegviewosastarxu@gmx.net</t>
  </si>
  <si>
    <t>cZO1Oe8UJz</t>
  </si>
  <si>
    <t>scaminnimovanc8b@gmx.net</t>
  </si>
  <si>
    <t>TCK3ymtX0K</t>
  </si>
  <si>
    <t>olersumigagt@gmx.net</t>
  </si>
  <si>
    <t>c1eHSqGRTK</t>
  </si>
  <si>
    <t>kinglaihiath2t@gmx.net</t>
  </si>
  <si>
    <t>hc1tKi8rWl</t>
  </si>
  <si>
    <t>diotykonvoe7@gmx.net</t>
  </si>
  <si>
    <t>BK6VUfSuFK</t>
  </si>
  <si>
    <t>pestboingambg8@gmx.net</t>
  </si>
  <si>
    <t>oMqYp2AdhF</t>
  </si>
  <si>
    <t>quelosuriplat05@gmx.net</t>
  </si>
  <si>
    <t>nnZ2o24VUY</t>
  </si>
  <si>
    <t>soegekotogeojr@gmx.net</t>
  </si>
  <si>
    <t>eArkmKrMFH</t>
  </si>
  <si>
    <t>erinoijoi6p@gmx.net</t>
  </si>
  <si>
    <t>gwol9HZiav</t>
  </si>
  <si>
    <t>perdeozumoconiw@gmx.net</t>
  </si>
  <si>
    <t>10BCzvxyTK</t>
  </si>
  <si>
    <t>vamlosuiupk7@gmx.net</t>
  </si>
  <si>
    <t>keRzneNqfN</t>
  </si>
  <si>
    <t>bloodfuldokucepdv@gmx.net</t>
  </si>
  <si>
    <t>1L3ZqIGaFj</t>
  </si>
  <si>
    <t>XSqjw7FMUb</t>
  </si>
  <si>
    <t>tranocnushineyo4@gmx.net</t>
  </si>
  <si>
    <t>7SRHCXxH2o</t>
  </si>
  <si>
    <t>piethromsusuquih8@gmx.net</t>
  </si>
  <si>
    <t>kGS5rBNWCh</t>
  </si>
  <si>
    <t>brininkonjuncr5@gmx.net</t>
  </si>
  <si>
    <t>1eNQm6XySl</t>
  </si>
  <si>
    <t>unpalnebablas5i@gmx.net</t>
  </si>
  <si>
    <t>iTIGFfdfwq</t>
  </si>
  <si>
    <t>beaunuragadalk0@gmx.net</t>
  </si>
  <si>
    <t>JdMbLJAcUW</t>
  </si>
  <si>
    <t>soyfumisesug7a@gmx.net</t>
  </si>
  <si>
    <t>euXsC2R72P</t>
  </si>
  <si>
    <t>mosimushipid84@gmx.net</t>
  </si>
  <si>
    <t>Jp4RL9ZQGL</t>
  </si>
  <si>
    <t>geovenyutofestb1@gmx.net</t>
  </si>
  <si>
    <t>YFJkeXnzXI</t>
  </si>
  <si>
    <t>ehaldokasteam2p@gmx.net</t>
  </si>
  <si>
    <t>892kE03Spo</t>
  </si>
  <si>
    <t>parnzalrotoimtv@gmx.net</t>
  </si>
  <si>
    <t>1Fwr8cq5Ei</t>
  </si>
  <si>
    <t>choiproovpinglanid@gmx.net</t>
  </si>
  <si>
    <t>suGhohLajH</t>
  </si>
  <si>
    <t>tagspehonercu@gmx.net</t>
  </si>
  <si>
    <t>ZPkHSTaR5X</t>
  </si>
  <si>
    <t>peloukiwacosd5@gmx.net</t>
  </si>
  <si>
    <t>cmOvQlrKem</t>
  </si>
  <si>
    <t>bubeltpeeranszc@gmx.net</t>
  </si>
  <si>
    <t>UlPyO4Dy8a</t>
  </si>
  <si>
    <t>sionalheicoe99@gmx.net</t>
  </si>
  <si>
    <t>vercX99r9u</t>
  </si>
  <si>
    <t>riesonrohibiiac@gmx.net</t>
  </si>
  <si>
    <t>BqE6KfMx0U</t>
  </si>
  <si>
    <t>baphochinoparkl5@gmx.net</t>
  </si>
  <si>
    <t>vHjRqqim2g</t>
  </si>
  <si>
    <t>susaophoug@gmx.us</t>
  </si>
  <si>
    <t>RfcPoziYY</t>
  </si>
  <si>
    <t>bbhpau160@gmx.us</t>
  </si>
  <si>
    <t>SjFHqApkG</t>
  </si>
  <si>
    <t>xurplco07@gmx.us</t>
  </si>
  <si>
    <t>FfJcHzpFm</t>
  </si>
  <si>
    <t>bkpwdhdapp@gmx.us</t>
  </si>
  <si>
    <t>LSbWWkzwj</t>
  </si>
  <si>
    <t>djbvlqw71@gmx.us</t>
  </si>
  <si>
    <t>DVmFDSfsF</t>
  </si>
  <si>
    <t>orYSNkkYA</t>
  </si>
  <si>
    <t>aveigr080@gmx.us</t>
  </si>
  <si>
    <t>nHktIZHtb</t>
  </si>
  <si>
    <t>TTpVDDfZs</t>
  </si>
  <si>
    <t>xWpqQYndK</t>
  </si>
  <si>
    <t>QNxqMlJjv</t>
  </si>
  <si>
    <t>jvfwmbyq104@gmx.us</t>
  </si>
  <si>
    <t>HDwxjyhUs</t>
  </si>
  <si>
    <t>cbaewilr2@gmx.us</t>
  </si>
  <si>
    <t>tWRDpqFYd</t>
  </si>
  <si>
    <t>cuunam759@gmx.us</t>
  </si>
  <si>
    <t>SPHwvwrpW</t>
  </si>
  <si>
    <t>cdmqcsisv48@gmx.us</t>
  </si>
  <si>
    <t>CXqucsQzq</t>
  </si>
  <si>
    <t>toogqkvuo845@gmx.us</t>
  </si>
  <si>
    <t>cdmTpVzFj</t>
  </si>
  <si>
    <t>mnchjlvtm758@gmx.us</t>
  </si>
  <si>
    <t>iLIBgeAdk</t>
  </si>
  <si>
    <t>atybrzbo9@gmx.us</t>
  </si>
  <si>
    <t>DtefQRtRa</t>
  </si>
  <si>
    <t>qlnzqet648@gmx.us</t>
  </si>
  <si>
    <t>ZTVAISzzm</t>
  </si>
  <si>
    <t>rinzgrbpk4@gmx.us</t>
  </si>
  <si>
    <t>vaCcoansI</t>
  </si>
  <si>
    <t>wmqpgrj800@gmx.us</t>
  </si>
  <si>
    <t>mDkzJTPOs</t>
  </si>
  <si>
    <t>pedcavxe248@gmx.us</t>
  </si>
  <si>
    <t>aLFnjvSDS</t>
  </si>
  <si>
    <t>bzgkhmk69@gmx.us</t>
  </si>
  <si>
    <t>lQnCKurSO</t>
  </si>
  <si>
    <t>xdluodi136@gmx.us</t>
  </si>
  <si>
    <t>UJTsuRgpa</t>
  </si>
  <si>
    <t>ucvxrfzc5@gmx.us</t>
  </si>
  <si>
    <t>PsfmsuCwl</t>
  </si>
  <si>
    <t>ipeuvirnkkc7@gmx.us</t>
  </si>
  <si>
    <t>WnasAwXrU</t>
  </si>
  <si>
    <t>bmmluujklb7@gmx.us</t>
  </si>
  <si>
    <t>syIqyCDxv</t>
  </si>
  <si>
    <t>ajhyfxno6618@gmx.us</t>
  </si>
  <si>
    <t>KmBmIAxUm</t>
  </si>
  <si>
    <t>hhsqklzopv46@gmx.us</t>
  </si>
  <si>
    <t>YqeSZrfsm</t>
  </si>
  <si>
    <t>kblgmva6789@gmx.us</t>
  </si>
  <si>
    <t>tkINiinmx</t>
  </si>
  <si>
    <t>CihWHejzF</t>
  </si>
  <si>
    <t>aODRUZjBw</t>
  </si>
  <si>
    <t>oonmifxzzsno@gmx.us</t>
  </si>
  <si>
    <t>ICqjvBxHX</t>
  </si>
  <si>
    <t>cwjseji471@gmx.us</t>
  </si>
  <si>
    <t>EscpkLEzx</t>
  </si>
  <si>
    <t>aUqlNLsQe</t>
  </si>
  <si>
    <t>lbviwankmi6@gmx.us</t>
  </si>
  <si>
    <t>pCznhMNYy</t>
  </si>
  <si>
    <t>uhnbhisbjhu9@gmx.us</t>
  </si>
  <si>
    <t>wtKspUWdX</t>
  </si>
  <si>
    <t>ijyxvaq94@gmx.us</t>
  </si>
  <si>
    <t>tNpOtBJUU</t>
  </si>
  <si>
    <t>obeuxbjny9@gmx.us</t>
  </si>
  <si>
    <t>lbvuyvoDq</t>
  </si>
  <si>
    <t>fyirvio8551@gmx.us</t>
  </si>
  <si>
    <t>xFSHUbpMJ</t>
  </si>
  <si>
    <t>keujiesz286@gmx.us</t>
  </si>
  <si>
    <t>TFbiuSdqB</t>
  </si>
  <si>
    <t>iimkql511@gmx.us</t>
  </si>
  <si>
    <t>iPapayrYD</t>
  </si>
  <si>
    <t>ccnpxfvdu275@gmx.us</t>
  </si>
  <si>
    <t>OFUQyFpXZ</t>
  </si>
  <si>
    <t>nwjwossur3@gmx.us</t>
  </si>
  <si>
    <t>mVQTEUlkX</t>
  </si>
  <si>
    <t>bsubrazs6@gmx.us</t>
  </si>
  <si>
    <t>RlxcVmoKH</t>
  </si>
  <si>
    <t>fgwlhaneqd@gmx.us</t>
  </si>
  <si>
    <t>mGCTTCAgp</t>
  </si>
  <si>
    <t>yritfh0217@gmx.us</t>
  </si>
  <si>
    <t>aQLjMgmPP</t>
  </si>
  <si>
    <t>hrhipebjfr1@gmx.us</t>
  </si>
  <si>
    <t>JeXgtsroc</t>
  </si>
  <si>
    <t>wmmxifmx40@gmx.us</t>
  </si>
  <si>
    <t>mRzrckfpr</t>
  </si>
  <si>
    <t>zbmtgaxwebck@gmx.us</t>
  </si>
  <si>
    <t>mDQdvmSvU</t>
  </si>
  <si>
    <t>ratygakufio6l@gmx.net</t>
  </si>
  <si>
    <t>JKFjWY79VG</t>
  </si>
  <si>
    <t>panbderhosowildba@gmx.net</t>
  </si>
  <si>
    <t>jHrphSeu21</t>
  </si>
  <si>
    <t>BarneyMolyneaux@gmx.us</t>
  </si>
  <si>
    <t>E@A6g!HrP113_q*c</t>
  </si>
  <si>
    <t>WanetaGoldenstein@gmx.us</t>
  </si>
  <si>
    <t>@i1*42GDe_NP7u@b</t>
  </si>
  <si>
    <t>LauranDauber@gmx.us</t>
  </si>
  <si>
    <t>!l5a!?FE*3XF64my</t>
  </si>
  <si>
    <t>ValdaPelino@gmx.us</t>
  </si>
  <si>
    <t>V0M*88qo_@Au_3Gt</t>
  </si>
  <si>
    <t>IsaacSibille@gmx.us</t>
  </si>
  <si>
    <t>@*63vt77__xXVHIp</t>
  </si>
  <si>
    <t>AllanaBove@gmx.us</t>
  </si>
  <si>
    <t>_P9@M1Iz1wk!!7Ox</t>
  </si>
  <si>
    <t>JonieStango@gmx.us</t>
  </si>
  <si>
    <t>@@La6mNE6!5nP@0u</t>
  </si>
  <si>
    <t>MerielEnder@gmx.us</t>
  </si>
  <si>
    <t>!1387mxb!QU_?JSn</t>
  </si>
  <si>
    <t>MeiMarlor@gmx.us</t>
  </si>
  <si>
    <t>X2f0c1WM2*W@!r!g</t>
  </si>
  <si>
    <t>GrazynaLons@gmx.us</t>
  </si>
  <si>
    <t>93X4u8Dm!*C!rJ_w</t>
  </si>
  <si>
    <t>KelleMohrman@gmx.us</t>
  </si>
  <si>
    <t>HL@02av!?91pWJ@m</t>
  </si>
  <si>
    <t>JessamineOllison@gmx.us</t>
  </si>
  <si>
    <t>*grfP9C6*!Q9B!4d</t>
  </si>
  <si>
    <t>ColetteMierez@gmx.us</t>
  </si>
  <si>
    <t>4ivEX@!FAb8@*38x</t>
  </si>
  <si>
    <t>WesleyBrodeur@gmx.us</t>
  </si>
  <si>
    <t>C5jBu01!D?_9rC_l</t>
  </si>
  <si>
    <t>DeidraKnatt@gmx.us</t>
  </si>
  <si>
    <t>4F@5?aNv9@kJ*O9y</t>
  </si>
  <si>
    <t>EllynLyken@gmx.us</t>
  </si>
  <si>
    <t>_zRw?_366Z0eSZ@c</t>
  </si>
  <si>
    <t>AmaliaMetzgar@gmx.us</t>
  </si>
  <si>
    <t>oF0g0@!_8@VxP6Pg</t>
  </si>
  <si>
    <t>BonifaceLenard@gmx.us</t>
  </si>
  <si>
    <t>d@7p_I?nDC?841Ks</t>
  </si>
  <si>
    <t>BraxtonStormo@gmx.us</t>
  </si>
  <si>
    <t>Iz1_SX842a?*Ny_y</t>
  </si>
  <si>
    <t>PaKilbride@gmx.us</t>
  </si>
  <si>
    <t>822tagG?*_M?A7Qb</t>
  </si>
  <si>
    <t>MarvinStvictor@gmx.us</t>
  </si>
  <si>
    <t>!_Qx1@0jXo!22YGl</t>
  </si>
  <si>
    <t>AlLungwitz@gmx.us</t>
  </si>
  <si>
    <t>@_QK2!?Zq4C1o3dl</t>
  </si>
  <si>
    <t>MargetYasinski@gmx.us</t>
  </si>
  <si>
    <t>8G@_Q4nxR!_4oC0e</t>
  </si>
  <si>
    <t>ShaquitaKasinger@gmx.us</t>
  </si>
  <si>
    <t>IP7*2O*p1K?o3z!c</t>
  </si>
  <si>
    <t>SonjaSeabrook@gmx.us</t>
  </si>
  <si>
    <t>D!39jNs?r85_QR*x</t>
  </si>
  <si>
    <t>EvviePuchalla@gmx.us</t>
  </si>
  <si>
    <t>hb@7_UY3fG5*_7Oz</t>
  </si>
  <si>
    <t>LettyRanney@gmx.us</t>
  </si>
  <si>
    <t>3*Y*q_6aX*2OSg9t</t>
  </si>
  <si>
    <t>SybillaVorholt@gmx.us</t>
  </si>
  <si>
    <t>Ak02_4ed4_CQ_L*p</t>
  </si>
  <si>
    <t>AngelynHoriuchi@gmx.us</t>
  </si>
  <si>
    <t>U5!00Q8*ydI*@sMo</t>
  </si>
  <si>
    <t>DoranLemire@gmx.us</t>
  </si>
  <si>
    <t>Ke4H*D7*t_5F8r_u</t>
  </si>
  <si>
    <t>MitziMalach@gmx.us</t>
  </si>
  <si>
    <t>YrbS7q0??*!M9E7w</t>
  </si>
  <si>
    <t>BrunaMuskopf@gmx.us</t>
  </si>
  <si>
    <t>GQ2wQ*9_!70aN*cy</t>
  </si>
  <si>
    <t>ChazShumock@gmx.us</t>
  </si>
  <si>
    <t>7HAtBt5__7*2Aq*h</t>
  </si>
  <si>
    <t>MargaretLamberti@gmx.us</t>
  </si>
  <si>
    <t>_0v_e?57tONZ_A5d</t>
  </si>
  <si>
    <t>DoranRohal@gmx.us</t>
  </si>
  <si>
    <t>m_X_Y_8L1?w2A4vz</t>
  </si>
  <si>
    <t>ThuBuikema@gmx.us</t>
  </si>
  <si>
    <t>dq2P@Y3C@@e*P76t</t>
  </si>
  <si>
    <t>Lowell9Mair@gmx.us</t>
  </si>
  <si>
    <t>HTodR_j86***7K4x</t>
  </si>
  <si>
    <t>ColbyMarrara@gmx.us</t>
  </si>
  <si>
    <t>_65M6X*Q?dL3@vtd</t>
  </si>
  <si>
    <t>ErmintrudeLanphear@gmx.us</t>
  </si>
  <si>
    <t>O04?Ltoa@M0!3?At</t>
  </si>
  <si>
    <t>TahneeMoland@gmx.us</t>
  </si>
  <si>
    <t>2_ErE*v0!Z4h*5Ql</t>
  </si>
  <si>
    <t>IggyHordyk@gmx.us</t>
  </si>
  <si>
    <t>v9Va66?9NUS@h?@t</t>
  </si>
  <si>
    <t>ChaunceyBartrop@gmx.us</t>
  </si>
  <si>
    <t>?b_RM08@zsB@4T1j</t>
  </si>
  <si>
    <t>TriciaKamel@gmx.us</t>
  </si>
  <si>
    <t>s?!W517WQR_w_3am</t>
  </si>
  <si>
    <t>IrisLufsey@gmx.us</t>
  </si>
  <si>
    <t>F_Q718?TrH_no1!z</t>
  </si>
  <si>
    <t>WanetaHidalgo@gmx.us</t>
  </si>
  <si>
    <t>fUM8???9lw6L?8Hh</t>
  </si>
  <si>
    <t>MaynerdSarconi@gmx.us</t>
  </si>
  <si>
    <t>@L07!kH5bS@3q?Pk</t>
  </si>
  <si>
    <t>EvalineSieren@gmx.us</t>
  </si>
  <si>
    <t>vX81@@*!1qUsGQ2v</t>
  </si>
  <si>
    <t>LucileUzzle@gmx.us</t>
  </si>
  <si>
    <t>X*26Mf_3*Y2_ezGg</t>
  </si>
  <si>
    <t>MeeBrady@gmx.us</t>
  </si>
  <si>
    <t>R*_z2kC_d70Z8S!a</t>
  </si>
  <si>
    <t>CymoneHallihan@gmx.us</t>
  </si>
  <si>
    <t>0MM@G?pK?lx@284m</t>
  </si>
  <si>
    <t>JanieKubes@gmx.us</t>
  </si>
  <si>
    <t>?ty!?16@UDZE95me</t>
  </si>
  <si>
    <t>LucyBellisario@gmx.us</t>
  </si>
  <si>
    <t>7_@isTI!I09S0h*h</t>
  </si>
  <si>
    <t>BarneyKoutras@gmx.us</t>
  </si>
  <si>
    <t>d8b?@KP9bG1X@0*n</t>
  </si>
  <si>
    <t>TamraDickey@gmx.us</t>
  </si>
  <si>
    <t>0x*?Rv3*HDS?7l8m</t>
  </si>
  <si>
    <t>CariFidler@gmx.us</t>
  </si>
  <si>
    <t>!iM960wNW0*q!N?n</t>
  </si>
  <si>
    <t>OcieMarbut@gmx.us</t>
  </si>
  <si>
    <t>!bOK6WI*5j@@c05o</t>
  </si>
  <si>
    <t>CindiKieck@gmx.us</t>
  </si>
  <si>
    <t>R6s_@2!tYKz!31Iw</t>
  </si>
  <si>
    <t>IraCapote@gmx.us</t>
  </si>
  <si>
    <t>_2*tI85zkWRR?9!r</t>
  </si>
  <si>
    <t>DanieleConkright@gmx.us</t>
  </si>
  <si>
    <t>792?@lWVDG*rj9!f</t>
  </si>
  <si>
    <t>LudmillaBunch@gmx.us</t>
  </si>
  <si>
    <t>!**7cW@N3ck42SAc</t>
  </si>
  <si>
    <t>CharlesSusanin@gmx.us</t>
  </si>
  <si>
    <t>Z54?z*7tw6!NVS*q</t>
  </si>
  <si>
    <t>PerceSchoenig@gmx.us</t>
  </si>
  <si>
    <t>L7?FL2c?!4dU0w*i</t>
  </si>
  <si>
    <t>JaylaGribbins@gmx.us</t>
  </si>
  <si>
    <t>q?@_5Z8WN17N!siu</t>
  </si>
  <si>
    <t>JeannineCarpen@gmx.us</t>
  </si>
  <si>
    <t>oT85_o9LPH?i1@@x</t>
  </si>
  <si>
    <t>TallulahShenker@gmx.us</t>
  </si>
  <si>
    <t>*J@z636H5x!Bm!Dd</t>
  </si>
  <si>
    <t>KristineHampe@gmx.us</t>
  </si>
  <si>
    <t>!*eS7eKB?2kZ@10t</t>
  </si>
  <si>
    <t>MariannFalkner@gmx.us</t>
  </si>
  <si>
    <t>*C149s*2qZB?R@lx</t>
  </si>
  <si>
    <t>CollenLittleton@gmx.us</t>
  </si>
  <si>
    <t>868Atw_*AM@6_dYq</t>
  </si>
  <si>
    <t>JaycobConrod@gmx.us</t>
  </si>
  <si>
    <t>2y@11Q?eXF@@K8xy</t>
  </si>
  <si>
    <t>BulahQuant@gmx.us</t>
  </si>
  <si>
    <t>jUp*MK99?_v5@G1e</t>
  </si>
  <si>
    <t>SammyBahner@gmx.us</t>
  </si>
  <si>
    <t>57dd_96!DEU?hE?i</t>
  </si>
  <si>
    <t>IlianaHupp@gmx.us</t>
  </si>
  <si>
    <t>gQ6w8!!E*SZ1m4*b</t>
  </si>
  <si>
    <t>MortonHanns@gmx.us</t>
  </si>
  <si>
    <t>!01_QRwR!8c*jI2b</t>
  </si>
  <si>
    <t>KatrionaSheekey@gmx.us</t>
  </si>
  <si>
    <t>o55H@q6!x4*J*ZVn</t>
  </si>
  <si>
    <t>DavidKehoe@gmx.us</t>
  </si>
  <si>
    <t>vgV?0@K@*090tTXw</t>
  </si>
  <si>
    <t>KerriLoraine@gmx.us</t>
  </si>
  <si>
    <t>i@l8!U76TT!B3*vq</t>
  </si>
  <si>
    <t>EneidaBoliver@gmx.us</t>
  </si>
  <si>
    <t>z@s2_r485?ANSB@x</t>
  </si>
  <si>
    <t>DelmarDinizio@gmx.us</t>
  </si>
  <si>
    <t>y71W*0!*?VvKAg6z</t>
  </si>
  <si>
    <t>CristineJaconski@gmx.us</t>
  </si>
  <si>
    <t>w158_R!@*KGjPe9f</t>
  </si>
  <si>
    <t>SheelaghCheairs@gmx.us</t>
  </si>
  <si>
    <t>66BO*5@w*@bv1JHx</t>
  </si>
  <si>
    <t>BerneiceVongphakdy@gmx.us</t>
  </si>
  <si>
    <t>X7k9?T4X8Dbn?@_h</t>
  </si>
  <si>
    <t>SeleneScheno@gmx.us</t>
  </si>
  <si>
    <t>?X05@A2?PhS_l1kx</t>
  </si>
  <si>
    <t>AdenMarchuk@gmx.us</t>
  </si>
  <si>
    <t>5@V*3So!*QD2mp6m</t>
  </si>
  <si>
    <t>LeoraIngraffea@gmx.us</t>
  </si>
  <si>
    <t>2_sD@5j@6_2TEuLd</t>
  </si>
  <si>
    <t>LoraleeSmither@gmx.us</t>
  </si>
  <si>
    <t>DKRM1_j?_55@6trg</t>
  </si>
  <si>
    <t>JohanneSchaedler@gmx.us</t>
  </si>
  <si>
    <t>85I8T7Qef_i@!?Rq</t>
  </si>
  <si>
    <t>TerraYoshiyama@gmx.us</t>
  </si>
  <si>
    <t>_*Kc9!RJp09xR8*i</t>
  </si>
  <si>
    <t>KathieLouis@gmx.us</t>
  </si>
  <si>
    <t>4ZC?y_Fk6Z6y*8?p</t>
  </si>
  <si>
    <t>PartheniaBonga@gmx.us</t>
  </si>
  <si>
    <t>!5U!f?*YJ5k6L4lj</t>
  </si>
  <si>
    <t>OthaGannaway@gmx.us</t>
  </si>
  <si>
    <t>g1p_K?32*JMw5R@g</t>
  </si>
  <si>
    <t>XuanCozine@gmx.us</t>
  </si>
  <si>
    <t>_!4f1_x7b1LAA!Ym</t>
  </si>
  <si>
    <t>TobiRaptis@gmx.us</t>
  </si>
  <si>
    <t>?cHP2!7p50W??Tfc</t>
  </si>
  <si>
    <t>OraBelsky@gmx.us</t>
  </si>
  <si>
    <t>!x?!9?HRxd7Y36Ls</t>
  </si>
  <si>
    <t>CarmelCarlye@gmx.us</t>
  </si>
  <si>
    <t>f2AJA?!K@84w*s7z</t>
  </si>
  <si>
    <t>CharnetteTurinetti@gmx.us</t>
  </si>
  <si>
    <t>o7!7KqmESL!7?8*z</t>
  </si>
  <si>
    <t>LauretteBester@gmx.us</t>
  </si>
  <si>
    <t>1E0GVf*qB*t2?8@x</t>
  </si>
  <si>
    <t>BarberaPoletski@gmx.us</t>
  </si>
  <si>
    <t>_Xq*4GH3p?60Lf*w</t>
  </si>
  <si>
    <t>GeorgeneSwatt@gmx.us</t>
  </si>
  <si>
    <t>Lg14*IRw50_zM_!x</t>
  </si>
  <si>
    <t>FidoSkovlund@gmx.us</t>
  </si>
  <si>
    <t>!Oc65XS?@0!p3Ala</t>
  </si>
  <si>
    <t>KumSimple@gmx.us</t>
  </si>
  <si>
    <t>I@7*MlJ4i3t6T_*v</t>
  </si>
  <si>
    <t>VidaBarut@gmx.us</t>
  </si>
  <si>
    <t>Vb7U@?u_t4MV*81b</t>
  </si>
  <si>
    <t>SadieKopka@gmx.us</t>
  </si>
  <si>
    <t>Al2_?73Ia!LX!z2u</t>
  </si>
  <si>
    <t>MertonChecca@gmx.us</t>
  </si>
  <si>
    <t>1slM_U2!!WG_7x3j</t>
  </si>
  <si>
    <t>AlethaJacinthe@gmx.us</t>
  </si>
  <si>
    <t>z!ob6PW47??S_S1t</t>
  </si>
  <si>
    <t>LannieHasgill@gmx.us</t>
  </si>
  <si>
    <t>49Pf6V?ai_3F@N_k</t>
  </si>
  <si>
    <t>SkyDugar@gmx.us</t>
  </si>
  <si>
    <t>q*0@?6xKZQMt!48g</t>
  </si>
  <si>
    <t>MckaylaServe@gmx.us</t>
  </si>
  <si>
    <t>0@G?Rjm307eY@!Ar</t>
  </si>
  <si>
    <t>MargotSulzman@gmx.us</t>
  </si>
  <si>
    <t>CSu8X_!Dz23!j_9c</t>
  </si>
  <si>
    <t>HoytLeneave@gmx.us</t>
  </si>
  <si>
    <t>NI_1o0@4@aJDj@9g</t>
  </si>
  <si>
    <t>AshlynDaniele@gmx.us</t>
  </si>
  <si>
    <t>OUnp4@6Ak!!!5Y6e</t>
  </si>
  <si>
    <t>CatarinaCoalter@gmx.us</t>
  </si>
  <si>
    <t>j?O88?rI7@t_S0Cs</t>
  </si>
  <si>
    <t>MarinHarres@gmx.us</t>
  </si>
  <si>
    <t>Gr_p4@F823_fXS*c</t>
  </si>
  <si>
    <t>KathiVogan@gmx.us</t>
  </si>
  <si>
    <t>!!U5YOi9_oO1g0!w</t>
  </si>
  <si>
    <t>EttieLedger@gmx.us</t>
  </si>
  <si>
    <t>_*67aEBJ5?K8v?bb</t>
  </si>
  <si>
    <t>KieshaTennon@gmx.us</t>
  </si>
  <si>
    <t>5F?1a0!T?6Gv_Mtm</t>
  </si>
  <si>
    <t>CuthbertChehab@gmx.us</t>
  </si>
  <si>
    <t>V8?lv*_R@3S80rYw</t>
  </si>
  <si>
    <t>JorieDenike@gmx.us</t>
  </si>
  <si>
    <t>G*5*U9d1K_B@my6r</t>
  </si>
  <si>
    <t>ElroyNaquin@gmx.us</t>
  </si>
  <si>
    <t>p16hT0!zDK@7D@@w</t>
  </si>
  <si>
    <t>GiseleCastellanos@gmx.us</t>
  </si>
  <si>
    <t>7P1!Q_u*!rfQI10z</t>
  </si>
  <si>
    <t>HyacinthaBekins@gmx.us</t>
  </si>
  <si>
    <t>5*Bt6@L!w7W!D8xq</t>
  </si>
  <si>
    <t>PleasanceBalford@gmx.us</t>
  </si>
  <si>
    <t>r2C!Mv*73C__P7ed</t>
  </si>
  <si>
    <t>LeonaDonelan@gmx.us</t>
  </si>
  <si>
    <t>SKlw45@*r@L*22Ec</t>
  </si>
  <si>
    <t>PeggieGayanilo@gmx.us</t>
  </si>
  <si>
    <t>0@969QMsyDcV*_@v</t>
  </si>
  <si>
    <t>MafaldaElsaesser@gmx.us</t>
  </si>
  <si>
    <t>L@e!8?44u@tY5NNy</t>
  </si>
  <si>
    <t>JackieGetzlaff@gmx.us</t>
  </si>
  <si>
    <t>?@B_8?HqyhY829Pd</t>
  </si>
  <si>
    <t>RooseveltBattisti@gmx.us</t>
  </si>
  <si>
    <t>C?9kD9?TV_4n7q*k</t>
  </si>
  <si>
    <t>PeterkinConour@gmx.us</t>
  </si>
  <si>
    <t>w17C!d!@36PR_aRe</t>
  </si>
  <si>
    <t>DevenBerteau@gmx.us</t>
  </si>
  <si>
    <t>Z@9Cb!N*Kd7x6_1n</t>
  </si>
  <si>
    <t>DorlaWaggett@gmx.us</t>
  </si>
  <si>
    <t>35Sb?Y0m0?Z!_Gre</t>
  </si>
  <si>
    <t>KarleneVasaure@gmx.us</t>
  </si>
  <si>
    <t>Ljt!1*_JZ279kM!f</t>
  </si>
  <si>
    <t>AlleenShike@gmx.us</t>
  </si>
  <si>
    <t>_X?0Qb9_Fy3F1u@v</t>
  </si>
  <si>
    <t>UlrikeSidle@gmx.us</t>
  </si>
  <si>
    <t>1*qrn83*H1@OM@Fw</t>
  </si>
  <si>
    <t>JaylaLangella@gmx.us</t>
  </si>
  <si>
    <t>4@!W74sU@I?Fnl1f</t>
  </si>
  <si>
    <t>ChadFuerstenau@gmx.us</t>
  </si>
  <si>
    <t>RaM564!6@_cEs!Gx</t>
  </si>
  <si>
    <t>MiracleMeler@gmx.us</t>
  </si>
  <si>
    <t>9E!96Nig0S?W_z@q</t>
  </si>
  <si>
    <t>CadenceLaigle@gmx.us</t>
  </si>
  <si>
    <t>DY7?!6khScJ*_10b</t>
  </si>
  <si>
    <t>SandraLegel@gmx.us</t>
  </si>
  <si>
    <t>I3?d4?P9s_ZPd!3q</t>
  </si>
  <si>
    <t>ColinMussenden@gmx.us</t>
  </si>
  <si>
    <t>Kq!6*Sgt!Y*43A2z</t>
  </si>
  <si>
    <t>MilburnBroman@gmx.us</t>
  </si>
  <si>
    <t>__0*Ssc80Ou6!DBn</t>
  </si>
  <si>
    <t>KathlynSuleski@gmx.us</t>
  </si>
  <si>
    <t>eOw7F6S**x_Q5_5f</t>
  </si>
  <si>
    <t>JackelynCaira@gmx.us</t>
  </si>
  <si>
    <t>24@f_97V_@MGKkkt</t>
  </si>
  <si>
    <t>EarlineCabiness@gmx.us</t>
  </si>
  <si>
    <t>!CR!P7!23Bvp9v@q</t>
  </si>
  <si>
    <t>KrystenNewand@gmx.us</t>
  </si>
  <si>
    <t>8lqG!R*k3I?38@Io</t>
  </si>
  <si>
    <t>ElmaGaynor@gmx.us</t>
  </si>
  <si>
    <t>V_*7Sevm64N@A4*c</t>
  </si>
  <si>
    <t>MargareteCarolan@gmx.us</t>
  </si>
  <si>
    <t>?*3L@_87gC0wjZLl</t>
  </si>
  <si>
    <t>SienaBreznak@gmx.us</t>
  </si>
  <si>
    <t>?_wpVXB**22p89Di</t>
  </si>
  <si>
    <t>LotusMarro@gmx.us</t>
  </si>
  <si>
    <t>vK!9CV?0r*_52mWs</t>
  </si>
  <si>
    <t>KaitlynSoderstrom@gmx.us</t>
  </si>
  <si>
    <t>JH1@V*Mi75!ui*8a</t>
  </si>
  <si>
    <t>GosseMceachran@gmx.us</t>
  </si>
  <si>
    <t>8_q*3Kz!EU66?Zra</t>
  </si>
  <si>
    <t>VirgenDobrin@gmx.us</t>
  </si>
  <si>
    <t>!mL4!@r1_3UIp7Lz</t>
  </si>
  <si>
    <t>ClemConnerly@gmx.us</t>
  </si>
  <si>
    <t>O*TxI64_*fdV8*0r</t>
  </si>
  <si>
    <t>JeffWachtel@gmx.us</t>
  </si>
  <si>
    <t>tF4IK*6?4opA_@2g</t>
  </si>
  <si>
    <t>CheyanneZeman@gmx.us</t>
  </si>
  <si>
    <t>8DmCsm_U65_0!_Uz</t>
  </si>
  <si>
    <t>SissyMachin@gmx.us</t>
  </si>
  <si>
    <t>*8A?Q9_t!92EbDht</t>
  </si>
  <si>
    <t>NguyetScherff@gmx.us</t>
  </si>
  <si>
    <t>Y?8B9?P9p*@4yCnu</t>
  </si>
  <si>
    <t>PetrinaCelis@gmx.us</t>
  </si>
  <si>
    <t>5U?M77wp!7UyV!_g</t>
  </si>
  <si>
    <t>LanaPirollo@gmx.us</t>
  </si>
  <si>
    <t>PHs?E42w6s?4M@_z</t>
  </si>
  <si>
    <t>SherronClelland@gmx.us</t>
  </si>
  <si>
    <t>*!YEy7@96*Q9uFtb</t>
  </si>
  <si>
    <t>LuMedick@gmx.us</t>
  </si>
  <si>
    <t>l2Vq6@0??_mMAV6p</t>
  </si>
  <si>
    <t>MollyHokkanen@gmx.us</t>
  </si>
  <si>
    <t>__XH_5J8y*eR44iq</t>
  </si>
  <si>
    <t>BrandtRipson@gmx.us</t>
  </si>
  <si>
    <t>Sa?B10_o*DA6_w6i</t>
  </si>
  <si>
    <t>DollyCrawhorn@gmx.us</t>
  </si>
  <si>
    <t>1Lf5rAA!!Nf_!09t</t>
  </si>
  <si>
    <t>OsbourneDeakin@gmx.us</t>
  </si>
  <si>
    <t>SS8Ee7*j7m@H@!6k</t>
  </si>
  <si>
    <t>GreigPyrdum@gmx.us</t>
  </si>
  <si>
    <t>W?o044fL!*X0tN*r</t>
  </si>
  <si>
    <t>KaranMoulin@gmx.us</t>
  </si>
  <si>
    <t>_@7_0?m8cA1XEAdi</t>
  </si>
  <si>
    <t>EugenieCoppens@gmx.us</t>
  </si>
  <si>
    <t>W6Tj7*75h@L!Tv*m</t>
  </si>
  <si>
    <t>MaricelaLemans@gmx.us</t>
  </si>
  <si>
    <t>@Nn8h?S*4@N9uI1d</t>
  </si>
  <si>
    <t>EmmyTepper@gmx.us</t>
  </si>
  <si>
    <t>A*1bN_!3n0q6_NBl</t>
  </si>
  <si>
    <t>EmileeFerroni@gmx.us</t>
  </si>
  <si>
    <t>_!_5e63oCGL6eO?c</t>
  </si>
  <si>
    <t>MadaleneToscano@gmx.us</t>
  </si>
  <si>
    <t>*0e@?8TD?aH4xB5e</t>
  </si>
  <si>
    <t>QuinRatajczak@gmx.us</t>
  </si>
  <si>
    <t>0K!M!81eERa_!r9d</t>
  </si>
  <si>
    <t>RhondaRieffenberger@gmx.us</t>
  </si>
  <si>
    <t>Zn2?h958_*nSM*Wl</t>
  </si>
  <si>
    <t>NelleRobishaw@gmx.us</t>
  </si>
  <si>
    <t>5ln6_F7uW_?3?KYt</t>
  </si>
  <si>
    <t>OdessaBruna@gmx.us</t>
  </si>
  <si>
    <t>?Pz1g_1A8mW0L?*x</t>
  </si>
  <si>
    <t>PeytonRedrick@gmx.us</t>
  </si>
  <si>
    <t>55wP7@!g1?RpAX!y</t>
  </si>
  <si>
    <t>BeulaMannion@gmx.us</t>
  </si>
  <si>
    <t>?6W?4s7M!Bs9@qHm</t>
  </si>
  <si>
    <t>CoraliePorco@gmx.us</t>
  </si>
  <si>
    <t>!6N5D6Dz!@yP9_tk</t>
  </si>
  <si>
    <t>UshaPotaczala@gmx.us</t>
  </si>
  <si>
    <t>*Om!J153!?INq3sg</t>
  </si>
  <si>
    <t>ValSayler@gmx.us</t>
  </si>
  <si>
    <t>w3!CUN7@1_6*jBpo</t>
  </si>
  <si>
    <t>MaryroseDunken@gmx.us</t>
  </si>
  <si>
    <t>4?0Yj*o9U5l?MB*r</t>
  </si>
  <si>
    <t>TaishaClemen@gmx.us</t>
  </si>
  <si>
    <t>F8e73_U!4*fBLm@t</t>
  </si>
  <si>
    <t>GailCernoch@gmx.us</t>
  </si>
  <si>
    <t>YT3!@*e9Vi@4c3Vh</t>
  </si>
  <si>
    <t>JessYount@gmx.us</t>
  </si>
  <si>
    <t>t!@6_R*9z8Z3FGxh</t>
  </si>
  <si>
    <t>DeneKlinetob@gmx.us</t>
  </si>
  <si>
    <t>j@0l0*0_US9W_Dbo</t>
  </si>
  <si>
    <t>LuckyKorsmeyer@gmx.us</t>
  </si>
  <si>
    <t>_?95L3?ZLNdjj*4c</t>
  </si>
  <si>
    <t>MyeshaMaxfield@gmx.us</t>
  </si>
  <si>
    <t>t5mOO_2?gN6!Y2*c</t>
  </si>
  <si>
    <t>MartyTanimoto@gmx.us</t>
  </si>
  <si>
    <t>xZ!8*!TX*rv4D93z</t>
  </si>
  <si>
    <t>ChristianKaltz@gmx.us</t>
  </si>
  <si>
    <t>!Al1!Y!xQ@0rG13e</t>
  </si>
  <si>
    <t>CecileYother@gmx.us</t>
  </si>
  <si>
    <t>I?1!YJ_2?sh3Vg3a</t>
  </si>
  <si>
    <t>LeonoreTangeman@gmx.us</t>
  </si>
  <si>
    <t>bh0T*T2T*_R2n6_a</t>
  </si>
  <si>
    <t>HerthaLamonica@gmx.us</t>
  </si>
  <si>
    <t>N6Pdmc5O19?R_??p</t>
  </si>
  <si>
    <t>EdisonWeekly@gmx.us</t>
  </si>
  <si>
    <t>__AH3z4H!?Yuk22y</t>
  </si>
  <si>
    <t>LeoniaInniss@gmx.us</t>
  </si>
  <si>
    <t>v*!0Y!56!IWJrf1p</t>
  </si>
  <si>
    <t>AngleaKurtzeborn@gmx.us</t>
  </si>
  <si>
    <t>c@q4a112NV!_U*Ji</t>
  </si>
  <si>
    <t>EsperanzaRoeschley@gmx.us</t>
  </si>
  <si>
    <t>Vg3*_3_7JVxn?Q6m</t>
  </si>
  <si>
    <t>LucilleFronczak@gmx.us</t>
  </si>
  <si>
    <t>G8!MP@r2a63o_@Ek</t>
  </si>
  <si>
    <t>OlaGinsberg@gmx.us</t>
  </si>
  <si>
    <t>!iLo!1LPL03@*0gc</t>
  </si>
  <si>
    <t>IsaiahVivas@gmx.us</t>
  </si>
  <si>
    <t>25t!T5w@SY@?R7nt</t>
  </si>
  <si>
    <t>EmmersonRozo@gmx.us</t>
  </si>
  <si>
    <t>AxeY@@v*77S*29Oh</t>
  </si>
  <si>
    <t>LuraMoneypenny@gmx.us</t>
  </si>
  <si>
    <t>5?b1_sVI1yA!_8Im</t>
  </si>
  <si>
    <t>KristianDillahunt@gmx.us</t>
  </si>
  <si>
    <t>Q7hmJ*U*_83G6j@r</t>
  </si>
  <si>
    <t>VernieGramlich@gmx.us</t>
  </si>
  <si>
    <t>_0r_QY@W88mg3Q@e</t>
  </si>
  <si>
    <t>SuziePallafor@gmx.us</t>
  </si>
  <si>
    <t>m35FHBt_*?1_Wm6v</t>
  </si>
  <si>
    <t>CelsaBendetti@gmx.us</t>
  </si>
  <si>
    <t>a_3ScHH?21!i9?Ow</t>
  </si>
  <si>
    <t>MaurineTovrea@gmx.us</t>
  </si>
  <si>
    <t>H!1_XoM2o!h39J*k</t>
  </si>
  <si>
    <t>lazcjouekt@gmx.us</t>
  </si>
  <si>
    <t>dNztbFJRq</t>
  </si>
  <si>
    <t>fvdjro594@gmx.us</t>
  </si>
  <si>
    <t>EMpBYdgHX</t>
  </si>
  <si>
    <t>gokhvktc6@gmx.us</t>
  </si>
  <si>
    <t>ZqfprOHmv</t>
  </si>
  <si>
    <t>kcczjbwci404@gmx.us</t>
  </si>
  <si>
    <t>ZpnSqZZVv</t>
  </si>
  <si>
    <t>hwqhbu2368@gmx.us</t>
  </si>
  <si>
    <t>SudohUOwz</t>
  </si>
  <si>
    <t>tinsukjdaff9@gmx.us</t>
  </si>
  <si>
    <t>flcuOgLFD</t>
  </si>
  <si>
    <t>ngvrwkbdwwu@gmx.us</t>
  </si>
  <si>
    <t>MafLGOCZd</t>
  </si>
  <si>
    <t>fybotsgj5@gmx.us</t>
  </si>
  <si>
    <t>OfIXtevmf</t>
  </si>
  <si>
    <t>SjHcYOujO</t>
  </si>
  <si>
    <t>rswtwrh437@gmx.us</t>
  </si>
  <si>
    <t>KouWdbmfD</t>
  </si>
  <si>
    <t>kovpwjzggo@gmx.us</t>
  </si>
  <si>
    <t>lzaxTmWhX</t>
  </si>
  <si>
    <t>nkxlbqmh96@gmx.us</t>
  </si>
  <si>
    <t>TLjEFitlJ</t>
  </si>
  <si>
    <t>brsnvrzcnt@gmx.us</t>
  </si>
  <si>
    <t>wNcaxFQpD</t>
  </si>
  <si>
    <t>cziwtl5255@gmx.us</t>
  </si>
  <si>
    <t>dEBFXqJAF</t>
  </si>
  <si>
    <t>dlgmcicuor7@gmx.us</t>
  </si>
  <si>
    <t>GtSGdUwya</t>
  </si>
  <si>
    <t>EghoaTDRO</t>
  </si>
  <si>
    <t>mlmzygumq@gmx.us</t>
  </si>
  <si>
    <t>UurodUDkB</t>
  </si>
  <si>
    <t>fcokgm0074@gmx.us</t>
  </si>
  <si>
    <t>lFRwdrZdL</t>
  </si>
  <si>
    <t>mkudzsxwpt1@gmx.us</t>
  </si>
  <si>
    <t>xRBrcGEvE</t>
  </si>
  <si>
    <t>pyiepxcx851@gmx.us</t>
  </si>
  <si>
    <t>uQkOOHHea</t>
  </si>
  <si>
    <t>cxboibsgcz7@gmx.us</t>
  </si>
  <si>
    <t>bASwoEJSq</t>
  </si>
  <si>
    <t>eIvizPDve</t>
  </si>
  <si>
    <t>erprmwojoiv@gmx.us</t>
  </si>
  <si>
    <t>pggSINCEB</t>
  </si>
  <si>
    <t>bnbwtgvsdanr@gmx.us</t>
  </si>
  <si>
    <t>EDjLEBRxP</t>
  </si>
  <si>
    <t>uyceqxlu0246@gmx.us</t>
  </si>
  <si>
    <t>VvfUtigrM</t>
  </si>
  <si>
    <t>yqkrmqjp022@gmx.us</t>
  </si>
  <si>
    <t>abhUbVebc</t>
  </si>
  <si>
    <t>wygqpte589@gmx.us</t>
  </si>
  <si>
    <t>ujMXqOVYP</t>
  </si>
  <si>
    <t>bpvbkna36@gmx.us</t>
  </si>
  <si>
    <t>bUwcCKEjm</t>
  </si>
  <si>
    <t>eyytgvh8722@gmx.us</t>
  </si>
  <si>
    <t>ddfWdmOvZ</t>
  </si>
  <si>
    <t>lpnusf204@gmx.us</t>
  </si>
  <si>
    <t>AFHINXQjO</t>
  </si>
  <si>
    <t>ikhsalyy9319@gmx.us</t>
  </si>
  <si>
    <t>tkxxQvxeP</t>
  </si>
  <si>
    <t>nbzoai0730@gmx.us</t>
  </si>
  <si>
    <t>YAypstyhi</t>
  </si>
  <si>
    <t>ggyzdoe429@gmx.us</t>
  </si>
  <si>
    <t>QDbmQqLwi</t>
  </si>
  <si>
    <t>mhqvvuo269@gmx.us</t>
  </si>
  <si>
    <t>SnJSlrlpX</t>
  </si>
  <si>
    <t>qopllsew093@gmx.us</t>
  </si>
  <si>
    <t>xDpGqRqQH</t>
  </si>
  <si>
    <t>jmtugfbx6@gmx.us</t>
  </si>
  <si>
    <t>pWPmiGuxN</t>
  </si>
  <si>
    <t>zuaqywl838@gmx.us</t>
  </si>
  <si>
    <t>HgxdVIGVM</t>
  </si>
  <si>
    <t>zqtlpbxpb@gmx.us</t>
  </si>
  <si>
    <t>VJJFlxymx</t>
  </si>
  <si>
    <t>uhuhdf5078@gmx.us</t>
  </si>
  <si>
    <t>giUeUNKZR</t>
  </si>
  <si>
    <t>vzyowthn5784@gmx.us</t>
  </si>
  <si>
    <t>ZnrNzNote</t>
  </si>
  <si>
    <t>ehetIqcaw</t>
  </si>
  <si>
    <t>jfkzqedidd2@gmx.us</t>
  </si>
  <si>
    <t>vpIhNKFnp</t>
  </si>
  <si>
    <t>fqgavlcuvl2@gmx.us</t>
  </si>
  <si>
    <t>cGXaNRsLs</t>
  </si>
  <si>
    <t>kbfobqubs1@gmx.us</t>
  </si>
  <si>
    <t>GotAZpHkf</t>
  </si>
  <si>
    <t>cuhjug919@gmx.us</t>
  </si>
  <si>
    <t>AsJhNwQva</t>
  </si>
  <si>
    <t>zingdna1022@gmx.us</t>
  </si>
  <si>
    <t>xrSXeVvDF</t>
  </si>
  <si>
    <t>eonzkvzxinc@gmx.us</t>
  </si>
  <si>
    <t>GzuuKlTCa</t>
  </si>
  <si>
    <t>zmtxbhq81@gmx.us</t>
  </si>
  <si>
    <t>vUxGBnKtf</t>
  </si>
  <si>
    <t>eopusjc19@gmx.us</t>
  </si>
  <si>
    <t>QGRehRray</t>
  </si>
  <si>
    <t>enfzcbftw7@gmx.us</t>
  </si>
  <si>
    <t>NlouMnlNz</t>
  </si>
  <si>
    <t>vuqkx9995@gmx.us</t>
  </si>
  <si>
    <t>yxqNRxpWv</t>
  </si>
  <si>
    <t>hzwnibf0254@gmx.us</t>
  </si>
  <si>
    <t>ILWUiCexr</t>
  </si>
  <si>
    <t>whxffazk111@gmx.us</t>
  </si>
  <si>
    <t>CTxjyIYjm</t>
  </si>
  <si>
    <t>viyepkysxonu@gmx.us</t>
  </si>
  <si>
    <t>cpHiTKGfB</t>
  </si>
  <si>
    <t>ivehivzcj558@gmx.us</t>
  </si>
  <si>
    <t>uCIHlZdLr</t>
  </si>
  <si>
    <t>jimuxncrse@gmx.us</t>
  </si>
  <si>
    <t>OZDEZrPHZ</t>
  </si>
  <si>
    <t>bgxikutiia6@gmx.us</t>
  </si>
  <si>
    <t>JKhzxbCjZ</t>
  </si>
  <si>
    <t>rmvecbpjzx85@gmx.us</t>
  </si>
  <si>
    <t>kUIMEuChU</t>
  </si>
  <si>
    <t>iktkzqrf668@gmx.us</t>
  </si>
  <si>
    <t>Eiayejkdo</t>
  </si>
  <si>
    <t>ttaokbvd78@gmx.us</t>
  </si>
  <si>
    <t>FSkHvnidy</t>
  </si>
  <si>
    <t>ctralf762@gmx.us</t>
  </si>
  <si>
    <t>HzfDQLoIc</t>
  </si>
  <si>
    <t>fhxxugllqk56@gmx.us</t>
  </si>
  <si>
    <t>pMRjuvehw</t>
  </si>
  <si>
    <t>tmpvnslgelaw@gmx.us</t>
  </si>
  <si>
    <t>eAThIWyoI</t>
  </si>
  <si>
    <t>bdqrntzjrp05@gmx.us</t>
  </si>
  <si>
    <t>AAcKBisTM</t>
  </si>
  <si>
    <t>nevxxpxaq129@gmx.us</t>
  </si>
  <si>
    <t>cApCyTWtc</t>
  </si>
  <si>
    <t>iuxxj8204@gmx.us</t>
  </si>
  <si>
    <t>pBJnzdNOO</t>
  </si>
  <si>
    <t>klvpghuuc@gmx.us</t>
  </si>
  <si>
    <t>DYAdFkWOv</t>
  </si>
  <si>
    <t>ywbnsnjugx4@gmx.us</t>
  </si>
  <si>
    <t>PqhVWivUp</t>
  </si>
  <si>
    <t>rtviwcwl38@gmx.us</t>
  </si>
  <si>
    <t>WbgvRsdIb</t>
  </si>
  <si>
    <t>ntifsvqqe@gmx.us</t>
  </si>
  <si>
    <t>kopgBtSpD</t>
  </si>
  <si>
    <t>fywadx4828@gmx.us</t>
  </si>
  <si>
    <t>AUKYDwbzx</t>
  </si>
  <si>
    <t>dzfdpwe22@gmx.us</t>
  </si>
  <si>
    <t>yXUKKFADS</t>
  </si>
  <si>
    <t>gvxhb5816@gmx.us</t>
  </si>
  <si>
    <t>WyCAONoOm</t>
  </si>
  <si>
    <t>kocfeztoi318@gmx.us</t>
  </si>
  <si>
    <t>nFkHYTmZd</t>
  </si>
  <si>
    <t>qzcufrdw6@gmx.us</t>
  </si>
  <si>
    <t>ugGZlzrjg</t>
  </si>
  <si>
    <t>hxxnbohrqs@gmx.us</t>
  </si>
  <si>
    <t>SadPZExDg</t>
  </si>
  <si>
    <t>ewwsaplrufr0@gmx.us</t>
  </si>
  <si>
    <t>FyaAUyFAX</t>
  </si>
  <si>
    <t>xwjghgma9873@gmx.us</t>
  </si>
  <si>
    <t>TtZLmQCLX</t>
  </si>
  <si>
    <t>crhltcea21@gmx.us</t>
  </si>
  <si>
    <t>cvbncqEJw</t>
  </si>
  <si>
    <t>wafzjrsvm442@gmx.us</t>
  </si>
  <si>
    <t>DmeGkGLwy</t>
  </si>
  <si>
    <t>hapbeevmj534@gmx.us</t>
  </si>
  <si>
    <t>ZUXMZIvql</t>
  </si>
  <si>
    <t>mkrbddwykecl@gmx.us</t>
  </si>
  <si>
    <t>fhWqMdurn</t>
  </si>
  <si>
    <t>tbnjtyt3032@gmx.us</t>
  </si>
  <si>
    <t>pFjGdLoLW</t>
  </si>
  <si>
    <t>rskyoat258@gmx.us</t>
  </si>
  <si>
    <t>KmTtyRoxM</t>
  </si>
  <si>
    <t>rcfqcucetb@gmx.us</t>
  </si>
  <si>
    <t>CQvvvRXgc</t>
  </si>
  <si>
    <t>waquuar24@gmx.us</t>
  </si>
  <si>
    <t>MCapQKZUy</t>
  </si>
  <si>
    <t>nrgueflzv68@gmx.us</t>
  </si>
  <si>
    <t>HQWzxYNxI</t>
  </si>
  <si>
    <t>gbybuttsxo81@gmx.us</t>
  </si>
  <si>
    <t>MEchEyTkM</t>
  </si>
  <si>
    <t>wcblradfy@gmx.us</t>
  </si>
  <si>
    <t>WHoWrDKUe</t>
  </si>
  <si>
    <t>mvnoia9550@gmx.us</t>
  </si>
  <si>
    <t>zdqPLOgdH</t>
  </si>
  <si>
    <t>mbsiytdq4655@gmx.us</t>
  </si>
  <si>
    <t>uKMlEQmFK</t>
  </si>
  <si>
    <t>yefrluccgw7@gmx.us</t>
  </si>
  <si>
    <t>pDBIkHUXS</t>
  </si>
  <si>
    <t>ygnboraay17@gmx.us</t>
  </si>
  <si>
    <t>MhdVtvHFt</t>
  </si>
  <si>
    <t>ddkzzqml0@gmx.us</t>
  </si>
  <si>
    <t>JOuBRXGXW</t>
  </si>
  <si>
    <t>btwnaqdbuop@gmx.us</t>
  </si>
  <si>
    <t>QAqLkAvgi</t>
  </si>
  <si>
    <t>ldarfeoq92@gmx.us</t>
  </si>
  <si>
    <t>aQcnZFJEu</t>
  </si>
  <si>
    <t>ygftiymig@gmx.us</t>
  </si>
  <si>
    <t>jzzaGwzzw</t>
  </si>
  <si>
    <t>qqwepwrak43@gmx.us</t>
  </si>
  <si>
    <t>NWGXzETPS</t>
  </si>
  <si>
    <t>PHhPKIrxK</t>
  </si>
  <si>
    <t>biixdyr24@gmx.us</t>
  </si>
  <si>
    <t>CwfEATGsA</t>
  </si>
  <si>
    <t>ypiulpuxhqo@gmx.us</t>
  </si>
  <si>
    <t>zQsxgyeCk</t>
  </si>
  <si>
    <t>xemfs8506@gmx.us</t>
  </si>
  <si>
    <t>lpghlUOat</t>
  </si>
  <si>
    <t>tabtjqbowmdc@gmx.us</t>
  </si>
  <si>
    <t>AwDfNbMaF</t>
  </si>
  <si>
    <t>nwwvkqqjklx@gmx.us</t>
  </si>
  <si>
    <t>nNgCgMtut</t>
  </si>
  <si>
    <t>efzbrfww114@gmx.us</t>
  </si>
  <si>
    <t>QTpWDMdHq</t>
  </si>
  <si>
    <t>snyygst01@gmx.us</t>
  </si>
  <si>
    <t>DjUJYpwch</t>
  </si>
  <si>
    <t>sypvefpig587@gmx.us</t>
  </si>
  <si>
    <t>tlHjRvfMF</t>
  </si>
  <si>
    <t>kucuxqypxx25@gmx.us</t>
  </si>
  <si>
    <t>KKDnyBcUe</t>
  </si>
  <si>
    <t>zxzxikis8@gmx.us</t>
  </si>
  <si>
    <t>COTGrCyrb</t>
  </si>
  <si>
    <t>bltwfauviwzi@gmx.us</t>
  </si>
  <si>
    <t>XKneAwmjk</t>
  </si>
  <si>
    <t>kwxpedm81@gmx.us</t>
  </si>
  <si>
    <t>WUWOtbWbd</t>
  </si>
  <si>
    <t>yzjsn6868@gmx.us</t>
  </si>
  <si>
    <t>hcYADmkwl</t>
  </si>
  <si>
    <t>iantsxdito1@gmx.us</t>
  </si>
  <si>
    <t>hlRlQVXMF</t>
  </si>
  <si>
    <t>jflxkawy2@gmx.us</t>
  </si>
  <si>
    <t>mMKaKjaBk</t>
  </si>
  <si>
    <t>aukgojrb3138@gmx.us</t>
  </si>
  <si>
    <t>xVRbrwXxA</t>
  </si>
  <si>
    <t>kqdxtfo972@gmx.us</t>
  </si>
  <si>
    <t>zsaTKlqNz</t>
  </si>
  <si>
    <t>cildhufwpurz@gmx.us</t>
  </si>
  <si>
    <t>qyhKyGaHd</t>
  </si>
  <si>
    <t>fxcgkxbdlkf5@gmx.us</t>
  </si>
  <si>
    <t>BYEpSgVbT</t>
  </si>
  <si>
    <t>cxfsfvecki70@gmx.us</t>
  </si>
  <si>
    <t>ehHbMrfnc</t>
  </si>
  <si>
    <t>ksjjycnm757@gmx.us</t>
  </si>
  <si>
    <t>RUklBLUpf</t>
  </si>
  <si>
    <t>eavbbjw0548@gmx.us</t>
  </si>
  <si>
    <t>fFGESeYqQ</t>
  </si>
  <si>
    <t>mzwqyi763@gmx.us</t>
  </si>
  <si>
    <t>OdOlcxnsr</t>
  </si>
  <si>
    <t>ovquopfqmrdt@gmx.us</t>
  </si>
  <si>
    <t>xSfmfAAKi</t>
  </si>
  <si>
    <t>gbafzrxmaw54@gmx.us</t>
  </si>
  <si>
    <t>BwiqAMNtX</t>
  </si>
  <si>
    <t>xkmfqwzfhk7@gmx.us</t>
  </si>
  <si>
    <t>fAsbfxWZO</t>
  </si>
  <si>
    <t>abynzizeyo@gmx.us</t>
  </si>
  <si>
    <t>fdUEVStgL</t>
  </si>
  <si>
    <t>afdlbgwufv@gmx.us</t>
  </si>
  <si>
    <t>jroftPrVr</t>
  </si>
  <si>
    <t>emeiwkbtg@gmx.us</t>
  </si>
  <si>
    <t>aNxNavURc</t>
  </si>
  <si>
    <t>ssxqpqspxbb5@gmx.us</t>
  </si>
  <si>
    <t>MtZvnLSXk</t>
  </si>
  <si>
    <t>mrobgleh9@gmx.us</t>
  </si>
  <si>
    <t>wffTkKSjr</t>
  </si>
  <si>
    <t>xvjnrefeed@gmx.us</t>
  </si>
  <si>
    <t>mSEtwaTbr</t>
  </si>
  <si>
    <t>wmdcpymnx4@gmx.us</t>
  </si>
  <si>
    <t>ZrIBIxUyL</t>
  </si>
  <si>
    <t>wkeacfud3775@gmx.us</t>
  </si>
  <si>
    <t>WOHiNuvkA</t>
  </si>
  <si>
    <t>qegnqegc34@gmx.us</t>
  </si>
  <si>
    <t>gaJZbvMgN</t>
  </si>
  <si>
    <t>xpyfjqsrvsa8@gmx.us</t>
  </si>
  <si>
    <t>EaBtOQrnS</t>
  </si>
  <si>
    <t>bgbfrmiib7@gmx.us</t>
  </si>
  <si>
    <t>oIlCwrQRa</t>
  </si>
  <si>
    <t>ehvxmzvtcj09@gmx.us</t>
  </si>
  <si>
    <t>ssfWCOqxc</t>
  </si>
  <si>
    <t>uuhosw3783@gmx.us</t>
  </si>
  <si>
    <t>wybQRYhKW</t>
  </si>
  <si>
    <t>sqkattnfg81@gmx.us</t>
  </si>
  <si>
    <t>BFAFKFCgU</t>
  </si>
  <si>
    <t>agxoeldwre22@gmx.us</t>
  </si>
  <si>
    <t>aUzdMniCO</t>
  </si>
  <si>
    <t>dyesgyjcg675@gmx.us</t>
  </si>
  <si>
    <t>LNoi9e2u2</t>
  </si>
  <si>
    <t>zixlvtr6363@gmx.us</t>
  </si>
  <si>
    <t>XKnM0ePnri</t>
  </si>
  <si>
    <t>yjxwajv992@gmx.us</t>
  </si>
  <si>
    <t>FuHC2VA9d</t>
  </si>
  <si>
    <t>sdjmloqui@gmx.us</t>
  </si>
  <si>
    <t>tTelZwe2LXR</t>
  </si>
  <si>
    <t>qwauhjqgyiiz@gmx.us</t>
  </si>
  <si>
    <t>crWjaIlpBk</t>
  </si>
  <si>
    <t>gwzqkhlen22@gmx.us</t>
  </si>
  <si>
    <t>gYDozOcXxA</t>
  </si>
  <si>
    <t>frttoozniz39@gmx.us</t>
  </si>
  <si>
    <t>rzXAGo4j3</t>
  </si>
  <si>
    <t>ffgvjw2773@gmx.us</t>
  </si>
  <si>
    <t>USpHxdsJd</t>
  </si>
  <si>
    <t>xiywhoj7807@gmx.us</t>
  </si>
  <si>
    <t>SenziOYi1Eb</t>
  </si>
  <si>
    <t>zdsmuefbwhr16@gmx.us</t>
  </si>
  <si>
    <t>mqvPbiyA4EF</t>
  </si>
  <si>
    <t>rafpwsev572@gmx.us</t>
  </si>
  <si>
    <t>tgkVrynNVC</t>
  </si>
  <si>
    <t>vrnxya392@gmx.us</t>
  </si>
  <si>
    <t>REJkmJ10TD2</t>
  </si>
  <si>
    <t>ulhacfqiy421@gmx.us</t>
  </si>
  <si>
    <t>RjMfQX2baiO</t>
  </si>
  <si>
    <t>pyxbfyblo0@gmx.us</t>
  </si>
  <si>
    <t>WiXebmN4K</t>
  </si>
  <si>
    <t>rrucrovubi2@gmx.us</t>
  </si>
  <si>
    <t>KHfnZ9C6uG</t>
  </si>
  <si>
    <t>HallAndrea1980@gmx.com</t>
  </si>
  <si>
    <t>UNe4SUn9lB</t>
  </si>
  <si>
    <t>MayoDebbie1990@gmx.com</t>
  </si>
  <si>
    <t>bmpFmac0iA</t>
  </si>
  <si>
    <t>HolmesErin2002@gmx.com</t>
  </si>
  <si>
    <t>Q7C986UmdT</t>
  </si>
  <si>
    <t>JenningsRhonda1983@gmx.com</t>
  </si>
  <si>
    <t>lWIlHAgz4f</t>
  </si>
  <si>
    <t>LewisValerie1999@gmx.com</t>
  </si>
  <si>
    <t>YhFMLjcOKR</t>
  </si>
  <si>
    <t>GraysonJon1979@gmx.com</t>
  </si>
  <si>
    <t>UiI6zMJzh1</t>
  </si>
  <si>
    <t>MahoneyCraig1987@gmx.com</t>
  </si>
  <si>
    <t>TlyjT9RjFr</t>
  </si>
  <si>
    <t>RaeMonique2002@gmx.com</t>
  </si>
  <si>
    <t>CxpmjOFKi9</t>
  </si>
  <si>
    <t>DelgadoAlejandra2001@gmx.com</t>
  </si>
  <si>
    <t>Eou77pK4Nf</t>
  </si>
  <si>
    <t>CortezAndre1991@gmx.com</t>
  </si>
  <si>
    <t>AhIrz7u4re</t>
  </si>
  <si>
    <t>FloydBrian1988@gmx.com</t>
  </si>
  <si>
    <t>1vksOIUNi9</t>
  </si>
  <si>
    <t>EstradaRebecca1985@gmx.com</t>
  </si>
  <si>
    <t>pPElISBFO8</t>
  </si>
  <si>
    <t>SinghSonia1991@gmx.com</t>
  </si>
  <si>
    <t>4auayRv72x</t>
  </si>
  <si>
    <t>HoodMike1983@gmx.com</t>
  </si>
  <si>
    <t>prRq9PnVaA</t>
  </si>
  <si>
    <t>MooreMichaela1985@gmx.com</t>
  </si>
  <si>
    <t>Cf03h9veho</t>
  </si>
  <si>
    <t>WilsonJennifer1990@gmx.com</t>
  </si>
  <si>
    <t>lt7qkYJd3x</t>
  </si>
  <si>
    <t>MachadoVanessa1979@gmx.com</t>
  </si>
  <si>
    <t>zS9Bx07qyG</t>
  </si>
  <si>
    <t>OrtegaDaniela1980@gmx.com</t>
  </si>
  <si>
    <t>KBPoiDJFcn</t>
  </si>
  <si>
    <t>BrownRenee2003@gmx.com</t>
  </si>
  <si>
    <t>HWl7piQVx5</t>
  </si>
  <si>
    <t>CrissJacob1986@gmx.com</t>
  </si>
  <si>
    <t>Je0Skpq6sH</t>
  </si>
  <si>
    <t>ByrdAntoine1991@gmx.com</t>
  </si>
  <si>
    <t>MiAEEiEZHk</t>
  </si>
  <si>
    <t>JacksonTracy1983@gmx.com</t>
  </si>
  <si>
    <t>8TEh5GEQap</t>
  </si>
  <si>
    <t>StewartBill1989@gmx.com</t>
  </si>
  <si>
    <t>8MInWUb8nd</t>
  </si>
  <si>
    <t>WakiQuincy1998@gmx.com</t>
  </si>
  <si>
    <t>ZcTlCr6Z2e</t>
  </si>
  <si>
    <t>HylandMatthew1988@gmx.com</t>
  </si>
  <si>
    <t>GZlA1EaEkg</t>
  </si>
  <si>
    <t>HarrisonDoug1999@gmx.com</t>
  </si>
  <si>
    <t>gtEXGcrX1Q</t>
  </si>
  <si>
    <t>ReedHeather1998@gmx.com</t>
  </si>
  <si>
    <t>yU77qWuZid</t>
  </si>
  <si>
    <t>GrayTravis1983@gmx.com</t>
  </si>
  <si>
    <t>5FznGqVItO</t>
  </si>
  <si>
    <t>LewisMarcela1985@gmx.com</t>
  </si>
  <si>
    <t>Sk85zAZ7qT</t>
  </si>
  <si>
    <t>BullSteve1984@gmx.com</t>
  </si>
  <si>
    <t>QvGTzY0BRM</t>
  </si>
  <si>
    <t>DouglasFred1986@gmx.com</t>
  </si>
  <si>
    <t>aN82KyzMrv</t>
  </si>
  <si>
    <t>WedgeTammy1989@gmx.com</t>
  </si>
  <si>
    <t>tX9ntz74jY</t>
  </si>
  <si>
    <t>ArchuletaStephanie1983@gmx.com</t>
  </si>
  <si>
    <t>jaOs1dgmxk</t>
  </si>
  <si>
    <t>SwinehartJennifer1981@gmx.com</t>
  </si>
  <si>
    <t>NL8KyNKk27</t>
  </si>
  <si>
    <t>WilliamsKate2002@gmx.com</t>
  </si>
  <si>
    <t>Cxii0hPUVO</t>
  </si>
  <si>
    <t>MartinVeronica1999@gmx.com</t>
  </si>
  <si>
    <t>6wZNpfIzsx</t>
  </si>
  <si>
    <t>MiddletonErin2003@gmx.com</t>
  </si>
  <si>
    <t>2sG13a8Jv7</t>
  </si>
  <si>
    <t>MizrahiShue1984@gmx.com</t>
  </si>
  <si>
    <t>RA6EEztNku</t>
  </si>
  <si>
    <t>OlsonWilliam2000@gmx.com</t>
  </si>
  <si>
    <t>g6dqiMxH11</t>
  </si>
  <si>
    <t>SavageStevie1982@gmx.com</t>
  </si>
  <si>
    <t>mxDhjRdqG6</t>
  </si>
  <si>
    <t>CollinsKaren1984@gmx.com</t>
  </si>
  <si>
    <t>GID9jNO572</t>
  </si>
  <si>
    <t>MesaAndrik1986@gmx.com</t>
  </si>
  <si>
    <t>nt63iLEZe9</t>
  </si>
  <si>
    <t>StarrGeorge1979@gmx.com</t>
  </si>
  <si>
    <t>rS5zTwDrKF</t>
  </si>
  <si>
    <t>RiskoHolly2001@gmx.com</t>
  </si>
  <si>
    <t>BI9I0KqBja</t>
  </si>
  <si>
    <t>TaylorJacqueline1987@gmx.com</t>
  </si>
  <si>
    <t>wMqnKqUNcK</t>
  </si>
  <si>
    <t>EvansWendy1984@gmx.com</t>
  </si>
  <si>
    <t>gC7Hx16Q7s</t>
  </si>
  <si>
    <t>JonesJackie1990@gmx.com</t>
  </si>
  <si>
    <t>KwCcgudLzS</t>
  </si>
  <si>
    <t>CavanaughRobbin1994@gmx.com</t>
  </si>
  <si>
    <t>X7hXoZ84RE</t>
  </si>
  <si>
    <t>PerkinsBobby1987@gmx.com</t>
  </si>
  <si>
    <t>xuQmDGLazJ</t>
  </si>
  <si>
    <t>MitchellJonya1982@gmx.com</t>
  </si>
  <si>
    <t>8EP0ayrZUG</t>
  </si>
  <si>
    <t>BoydKim1999@gmx.com</t>
  </si>
  <si>
    <t>mmu9Ego0kX</t>
  </si>
  <si>
    <t>FranklinStuart1980@gmx.com</t>
  </si>
  <si>
    <t>PfJepyFCMX</t>
  </si>
  <si>
    <t>JonesChristopher1989@gmx.com</t>
  </si>
  <si>
    <t>lQNliTRVxu</t>
  </si>
  <si>
    <t>CollinsLaura1979@gmx.com</t>
  </si>
  <si>
    <t>RrZQwCa3N2</t>
  </si>
  <si>
    <t>WilsonMonique1993@gmx.com</t>
  </si>
  <si>
    <t>Cxqwazs7WL</t>
  </si>
  <si>
    <t>HartRichard1988@gmx.com</t>
  </si>
  <si>
    <t>BSpqGbexju</t>
  </si>
  <si>
    <t>GonzalezKatie1987@gmx.com</t>
  </si>
  <si>
    <t>T8KAmyeIfZ</t>
  </si>
  <si>
    <t>SmithGina1980@gmx.com</t>
  </si>
  <si>
    <t>i5awJCbLib</t>
  </si>
  <si>
    <t>ClarkStacy1987@gmx.com</t>
  </si>
  <si>
    <t>icySzjM8Xv</t>
  </si>
  <si>
    <t>EphraimAnna2003@gmx.com</t>
  </si>
  <si>
    <t>NKuvdkPzrl</t>
  </si>
  <si>
    <t>JohnsonJenna1982@gmx.com</t>
  </si>
  <si>
    <t>MBEzIO8cLo</t>
  </si>
  <si>
    <t>CharlesworthLarry1994@gmx.com</t>
  </si>
  <si>
    <t>ubzbe5gWJ4</t>
  </si>
  <si>
    <t>DiazLuis2003@gmx.com</t>
  </si>
  <si>
    <t>CClnnYR0r1</t>
  </si>
  <si>
    <t>KelleyAllen1986@gmx.com</t>
  </si>
  <si>
    <t>hsyZ9czaST</t>
  </si>
  <si>
    <t>EsquivelSusan1991@gmx.com</t>
  </si>
  <si>
    <t>SO484z5VoM</t>
  </si>
  <si>
    <t>MorrowTricia2000@gmx.com</t>
  </si>
  <si>
    <t>UcGNEQflIX</t>
  </si>
  <si>
    <t>WilsonJohn1986@gmx.com</t>
  </si>
  <si>
    <t>JIe3Apvbw7</t>
  </si>
  <si>
    <t>MartinezCrystal1986@gmx.com</t>
  </si>
  <si>
    <t>7sMHlnJjiI</t>
  </si>
  <si>
    <t>McnairMatt1994@gmx.com</t>
  </si>
  <si>
    <t>wStYAHiZM4</t>
  </si>
  <si>
    <t>MontgomeryAlan1991@gmx.com</t>
  </si>
  <si>
    <t>PQfY0kXpSJ</t>
  </si>
  <si>
    <t>ClaytonAndy1999@gmx.com</t>
  </si>
  <si>
    <t>rNGqzxaYct</t>
  </si>
  <si>
    <t>LewisMelissa2002@gmx.com</t>
  </si>
  <si>
    <t>EPbYBmqbCk</t>
  </si>
  <si>
    <t>CaldwellTonya1980@gmx.com</t>
  </si>
  <si>
    <t>PzzXE6ueP4</t>
  </si>
  <si>
    <t>HuntJames2003@gmx.com</t>
  </si>
  <si>
    <t>rJItsWQ1NH</t>
  </si>
  <si>
    <t>JohnstonTrev1994@gmx.com</t>
  </si>
  <si>
    <t>rka5Acd9iG</t>
  </si>
  <si>
    <t>LeeBrittany1986@gmx.com</t>
  </si>
  <si>
    <t>qd3ov2hxec</t>
  </si>
  <si>
    <t>GodfreyMalleswar1979@gmx.com</t>
  </si>
  <si>
    <t>AZnRWXZNwm</t>
  </si>
  <si>
    <t>RobertsTammy1979@gmx.com</t>
  </si>
  <si>
    <t>Mv5tjUL9D4</t>
  </si>
  <si>
    <t>KennedyJohn1998@gmx.com</t>
  </si>
  <si>
    <t>BqeJw6Yw4K</t>
  </si>
  <si>
    <t>GlozmanHeather1978@gmx.com</t>
  </si>
  <si>
    <t>ip2SZgb9CJ</t>
  </si>
  <si>
    <t>KnightBrittany1986@gmx.com</t>
  </si>
  <si>
    <t>NfB0VkIdxa</t>
  </si>
  <si>
    <t>WrightBrittney1990@gmx.com</t>
  </si>
  <si>
    <t>guO654LMdm</t>
  </si>
  <si>
    <t>PrahlShelley1986@gmx.com</t>
  </si>
  <si>
    <t>xR7IhMhO8X</t>
  </si>
  <si>
    <t>LeeperKerry2001@gmx.com</t>
  </si>
  <si>
    <t>Vv8YilbHBj</t>
  </si>
  <si>
    <t>MitchellRenee1980@gmx.com</t>
  </si>
  <si>
    <t>kbCAEyNm57</t>
  </si>
  <si>
    <t>SouzaIsiah1999@gmx.com</t>
  </si>
  <si>
    <t>V3jYeqcGKO</t>
  </si>
  <si>
    <t>CattelPilsoo1983@gmx.com</t>
  </si>
  <si>
    <t>W2umkOZwFw</t>
  </si>
  <si>
    <t>SantoshChristopher2003@gmx.com</t>
  </si>
  <si>
    <t>WQW8ThuzrE</t>
  </si>
  <si>
    <t>GrindleyTyler1995@gmx.com</t>
  </si>
  <si>
    <t>cBk32ecnU4</t>
  </si>
  <si>
    <t>JeffriesDarrell1991@gmx.com</t>
  </si>
  <si>
    <t>QrOl8LIiMZ</t>
  </si>
  <si>
    <t>JohnzoDavid2002@gmx.com</t>
  </si>
  <si>
    <t>RPKN0xTtLF</t>
  </si>
  <si>
    <t>AllenRob1980@gmx.com</t>
  </si>
  <si>
    <t>aWMnngg1Re</t>
  </si>
  <si>
    <t>NobleDaniel1994@gmx.com</t>
  </si>
  <si>
    <t>amM0CFtnw1</t>
  </si>
  <si>
    <t>BloughMaria2002@gmx.com</t>
  </si>
  <si>
    <t>Qp6iBqfPFp</t>
  </si>
  <si>
    <t>EwansErica1997@gmx.com</t>
  </si>
  <si>
    <t>4Z1ar06brG</t>
  </si>
  <si>
    <t>LyonTeresa1989@gmx.com</t>
  </si>
  <si>
    <t>2yFFZ8Totp</t>
  </si>
  <si>
    <t>HeinenBreanna1981@gmx.com</t>
  </si>
  <si>
    <t>kyzTqxLs8k</t>
  </si>
  <si>
    <t>AtonyoMatt1986@gmx.com</t>
  </si>
  <si>
    <t>ONDTOrz2fX</t>
  </si>
  <si>
    <t>IvyBrad1994@gmx.com</t>
  </si>
  <si>
    <t>Ce9b5Dh0nz</t>
  </si>
  <si>
    <t>LightingCharles1981@gmx.com</t>
  </si>
  <si>
    <t>2kfVbBLREo</t>
  </si>
  <si>
    <t>RiveraJeffrey1997@gmx.com</t>
  </si>
  <si>
    <t>Rz3vPkHZr7</t>
  </si>
  <si>
    <t>DuncanIqbal1996@gmx.com</t>
  </si>
  <si>
    <t>JJBWO7F5Tz</t>
  </si>
  <si>
    <t>SmithShannon1980@gmx.com</t>
  </si>
  <si>
    <t>8mMbffGvNn</t>
  </si>
  <si>
    <t>VelasquezMelinda1986@gmx.com</t>
  </si>
  <si>
    <t>hceD3cv3sn</t>
  </si>
  <si>
    <t>BurnsMarie1980@gmx.com</t>
  </si>
  <si>
    <t>rxuQwwnRr5</t>
  </si>
  <si>
    <t>GoffCody1985@gmx.com</t>
  </si>
  <si>
    <t>86oG0SpF7t</t>
  </si>
  <si>
    <t>FlemingJody1980@gmx.com</t>
  </si>
  <si>
    <t>1pGXRtgtel</t>
  </si>
  <si>
    <t>CapersEdwin2003@gmx.com</t>
  </si>
  <si>
    <t>Xa666GqTYP</t>
  </si>
  <si>
    <t>HicksMaurice1986@gmx.com</t>
  </si>
  <si>
    <t>zg5ETT9f40</t>
  </si>
  <si>
    <t>SimpsonWhitney1997@gmx.com</t>
  </si>
  <si>
    <t>tOrb5zcisQ</t>
  </si>
  <si>
    <t>nbxflalxis@gmx.us</t>
  </si>
  <si>
    <t>ukjiBxuZ5</t>
  </si>
  <si>
    <t>fehecmtkddh13@gmx.us</t>
  </si>
  <si>
    <t>RqkKkeb3oy</t>
  </si>
  <si>
    <t>upcvhsjbp0809@gmx.us</t>
  </si>
  <si>
    <t>PkzC3tGyTz</t>
  </si>
  <si>
    <t>ysefjavihzd42@gmx.us</t>
  </si>
  <si>
    <t>YvGV1YaHR</t>
  </si>
  <si>
    <t>kmyppxgei@gmx.us</t>
  </si>
  <si>
    <t>CCXTfk18J</t>
  </si>
  <si>
    <t>efkuvxpl1644@gmx.us</t>
  </si>
  <si>
    <t>YJoYGRY8I4u</t>
  </si>
  <si>
    <t>lixlpqkdai63@gmx.us</t>
  </si>
  <si>
    <t>wbyosM6m3VS</t>
  </si>
  <si>
    <t>LjtMPJ82y1q</t>
  </si>
  <si>
    <t>cutxtuck6@gmx.us</t>
  </si>
  <si>
    <t>ESmWvARra</t>
  </si>
  <si>
    <t>xdtjgilzcb96@gmx.us</t>
  </si>
  <si>
    <t>pEOm76J0OH</t>
  </si>
  <si>
    <t>xqgfvxvql444@gmx.us</t>
  </si>
  <si>
    <t>IhnewBzcDRB</t>
  </si>
  <si>
    <t>emqltoavguw41@gmx.us</t>
  </si>
  <si>
    <t>CtUuuQZ0lod</t>
  </si>
  <si>
    <t>jolornyo44@gmx.us</t>
  </si>
  <si>
    <t>HdGQpSDYrIx</t>
  </si>
  <si>
    <t>yzcwjjybij@gmx.us</t>
  </si>
  <si>
    <t>HNOIGzeYF</t>
  </si>
  <si>
    <t>tavwszv992@gmx.us</t>
  </si>
  <si>
    <t>DfmdXEphzj</t>
  </si>
  <si>
    <t>jgwvmexuu47@gmx.us</t>
  </si>
  <si>
    <t>qvbtRhgn4J</t>
  </si>
  <si>
    <t>kupvhwnyur135@gmx.us</t>
  </si>
  <si>
    <t>rcbdjWuDRg</t>
  </si>
  <si>
    <t>tuzrtuuadp5@gmx.us</t>
  </si>
  <si>
    <t>oqIF4P7oMS</t>
  </si>
  <si>
    <t>brixvviwgtrn@gmx.us</t>
  </si>
  <si>
    <t>SOuTzbqNJ0</t>
  </si>
  <si>
    <t>yvjeljnircc65@gmx.us</t>
  </si>
  <si>
    <t>tzwNxKTvBIm</t>
  </si>
  <si>
    <t>bgunqea243@gmx.us</t>
  </si>
  <si>
    <t>grbh2WWYW5E</t>
  </si>
  <si>
    <t>euyfha170@gmx.us</t>
  </si>
  <si>
    <t>oeuZJ9i5QqG</t>
  </si>
  <si>
    <t>tybziviyx15@gmx.us</t>
  </si>
  <si>
    <t>sMTIVzcGFKA</t>
  </si>
  <si>
    <t>szbajgp7699@gmx.us</t>
  </si>
  <si>
    <t>EuZjyWyOL</t>
  </si>
  <si>
    <t>hiweqqz3449@gmx.us</t>
  </si>
  <si>
    <t>nXGsxbgzV</t>
  </si>
  <si>
    <t>jgpympdrin@gmx.us</t>
  </si>
  <si>
    <t>MZECCNSwRN8</t>
  </si>
  <si>
    <t>ewqqyxmtqwz3@gmx.us</t>
  </si>
  <si>
    <t>WeDVLscLEm1</t>
  </si>
  <si>
    <t>fxudega244@gmx.us</t>
  </si>
  <si>
    <t>iMYLD1iu8n</t>
  </si>
  <si>
    <t>cexdxgnna85@gmx.us</t>
  </si>
  <si>
    <t>mzMjhLrX0D</t>
  </si>
  <si>
    <t>triuffdpz8@gmx.us</t>
  </si>
  <si>
    <t>ysNGTS06L</t>
  </si>
  <si>
    <t>kfdridmwcdi76@gmx.us</t>
  </si>
  <si>
    <t>MgKyFkW3wB</t>
  </si>
  <si>
    <t>wivsmkc445@gmx.us</t>
  </si>
  <si>
    <t>jySPQbOy3</t>
  </si>
  <si>
    <t>qemcwfnsy2@gmx.us</t>
  </si>
  <si>
    <t>ntnso9GGHlU</t>
  </si>
  <si>
    <t>fftlgdcu7489@gmx.us</t>
  </si>
  <si>
    <t>dNTDfaKak7</t>
  </si>
  <si>
    <t>mnlhvhpys4@gmx.us</t>
  </si>
  <si>
    <t>ZTNdtkFLJvD</t>
  </si>
  <si>
    <t>hhpgqgrvfuzrb@gmx.us</t>
  </si>
  <si>
    <t>lbmCU5sev</t>
  </si>
  <si>
    <t>zbkmglfd99@gmx.us</t>
  </si>
  <si>
    <t>FbiLFpHzh</t>
  </si>
  <si>
    <t>enaoaan79@gmx.us</t>
  </si>
  <si>
    <t>eaKh2Zzik</t>
  </si>
  <si>
    <t>cnhmmxos0@gmx.us</t>
  </si>
  <si>
    <t>OEFk3TcZrax</t>
  </si>
  <si>
    <t>exwpwcqyf61@gmx.us</t>
  </si>
  <si>
    <t>pWkbeds1Y</t>
  </si>
  <si>
    <t>jkeqjbhlyz48@gmx.us</t>
  </si>
  <si>
    <t>WrvcSR130V</t>
  </si>
  <si>
    <t>djzzdoo58@gmx.us</t>
  </si>
  <si>
    <t>eeGu3Xt1wbF</t>
  </si>
  <si>
    <t>uvqgvdjgtxuah@gmx.us</t>
  </si>
  <si>
    <t>AGqU3LpU2Pj</t>
  </si>
  <si>
    <t>fjkvmaqb70@gmx.us</t>
  </si>
  <si>
    <t>YyPty7lBd</t>
  </si>
  <si>
    <t>ncWkD05bg</t>
  </si>
  <si>
    <t>vfwrwqdnbhtyo@gmx.us</t>
  </si>
  <si>
    <t>MVeZahom5</t>
  </si>
  <si>
    <t>yaaihuypen77@gmx.us</t>
  </si>
  <si>
    <t>JMSiFik9g</t>
  </si>
  <si>
    <t>ihscunaxpvwhb@gmx.us</t>
  </si>
  <si>
    <t>iTdR1GNbJ</t>
  </si>
  <si>
    <t>jjdletwjsd75@gmx.us</t>
  </si>
  <si>
    <t>EpVz6UOLL1</t>
  </si>
  <si>
    <t>vdjwwvfnh56@gmx.us</t>
  </si>
  <si>
    <t>ntmjfC3jXUl</t>
  </si>
  <si>
    <t>kgwifboh30@gmx.us</t>
  </si>
  <si>
    <t>aXzhRIhtz</t>
  </si>
  <si>
    <t>llsrulhxtf@gmx.us</t>
  </si>
  <si>
    <t>VfYSkA5ug</t>
  </si>
  <si>
    <t>frhxloiuaz517@gmx.us</t>
  </si>
  <si>
    <t>YIRP4W3QI</t>
  </si>
  <si>
    <t>grennedistcir1987@gmx.us</t>
  </si>
  <si>
    <t>f3av7WRFyZ</t>
  </si>
  <si>
    <t>presmasucse1978@gmx.us</t>
  </si>
  <si>
    <t>8Ehb0YocrL</t>
  </si>
  <si>
    <t>lockcounquiprox1981@gmx.us</t>
  </si>
  <si>
    <t>iiuDi2OEZF</t>
  </si>
  <si>
    <t>bioseselflas1986@gmx.us</t>
  </si>
  <si>
    <t>5WcFScvJ0C</t>
  </si>
  <si>
    <t>vazelheatal1983@gmx.us</t>
  </si>
  <si>
    <t>AcoHwqCsHy</t>
  </si>
  <si>
    <t>tetlevsbosab1985@gmx.us</t>
  </si>
  <si>
    <t>AB5BXiP8tj</t>
  </si>
  <si>
    <t>hiparrila1977@gmx.us</t>
  </si>
  <si>
    <t>2R3NEbFi6U</t>
  </si>
  <si>
    <t>ntelexcoizel1989@gmx.us</t>
  </si>
  <si>
    <t>q2bVOvLQua</t>
  </si>
  <si>
    <t>infunmayschool1978@gmx.us</t>
  </si>
  <si>
    <t>NbLFP4LPv2</t>
  </si>
  <si>
    <t>scamizinim1972@gmx.us</t>
  </si>
  <si>
    <t>DDtvuT9Ojt</t>
  </si>
  <si>
    <t>liticonco1983@gmx.us</t>
  </si>
  <si>
    <t>AuDshouYZ6</t>
  </si>
  <si>
    <t>closerunpor1977@gmx.us</t>
  </si>
  <si>
    <t>BGrcwdc7QR</t>
  </si>
  <si>
    <t>psycbilide1974@gmx.us</t>
  </si>
  <si>
    <t>EIAisdvzQ6</t>
  </si>
  <si>
    <t>poycasearme1984@gmx.us</t>
  </si>
  <si>
    <t>06ksrVxUf5</t>
  </si>
  <si>
    <t>ininpocen1981@gmx.us</t>
  </si>
  <si>
    <t>QAAjS17Kkt</t>
  </si>
  <si>
    <t>plodmofahes1974@gmx.us</t>
  </si>
  <si>
    <t>MaDFyNPPcZ</t>
  </si>
  <si>
    <t>relisala1973@gmx.us</t>
  </si>
  <si>
    <t>leiEFIgdvX</t>
  </si>
  <si>
    <t>agtytoni1979@gmx.us</t>
  </si>
  <si>
    <t>0K1jwROeNY</t>
  </si>
  <si>
    <t>cadokaval1976@gmx.us</t>
  </si>
  <si>
    <t>LYxyTiO5Qq</t>
  </si>
  <si>
    <t>sourlimoza1981@gmx.us</t>
  </si>
  <si>
    <t>kUL9BDhYDS</t>
  </si>
  <si>
    <t>jniQM5RGxw</t>
  </si>
  <si>
    <t>crafforbisu1988@gmx.us</t>
  </si>
  <si>
    <t>9oUlIYfS8n</t>
  </si>
  <si>
    <t>todelearnomb1977@gmx.us</t>
  </si>
  <si>
    <t>OHaoqk5jBV</t>
  </si>
  <si>
    <t>viepartlivo1986@gmx.us</t>
  </si>
  <si>
    <t>0d8YW7b6Zj</t>
  </si>
  <si>
    <t>danquidebcurt1985@gmx.us</t>
  </si>
  <si>
    <t>UvYObN5BZ9</t>
  </si>
  <si>
    <t>tchochanvaly1982@gmx.us</t>
  </si>
  <si>
    <t>hjDhnM4uAQ</t>
  </si>
  <si>
    <t>piperodi1987@gmx.us</t>
  </si>
  <si>
    <t>ewWDFiGrut</t>
  </si>
  <si>
    <t>siocarwombtack1980@gmx.us</t>
  </si>
  <si>
    <t>p1cS5lv0ZI</t>
  </si>
  <si>
    <t>fenfzonato1970@gmx.us</t>
  </si>
  <si>
    <t>RS9xKYpIZM</t>
  </si>
  <si>
    <t>taurenerol1971@gmx.us</t>
  </si>
  <si>
    <t>jQKayYeqAS</t>
  </si>
  <si>
    <t>berslovico1976@gmx.us</t>
  </si>
  <si>
    <t>Z8b1FTc6qr</t>
  </si>
  <si>
    <t>snorenpilpi1986@gmx.us</t>
  </si>
  <si>
    <t>sFuNLCmu5n</t>
  </si>
  <si>
    <t>nalsilekme1974@gmx.us</t>
  </si>
  <si>
    <t>fxsSTIa0TA</t>
  </si>
  <si>
    <t>dewcridate1986@gmx.us</t>
  </si>
  <si>
    <t>3LUXFIB9iy</t>
  </si>
  <si>
    <t>okasnomi1976@gmx.us</t>
  </si>
  <si>
    <t>AXVCHL7HUf</t>
  </si>
  <si>
    <t>biodrawivpe1974@gmx.us</t>
  </si>
  <si>
    <t>kJrOQBdxxa</t>
  </si>
  <si>
    <t>hycouncomi1986@gmx.us</t>
  </si>
  <si>
    <t>5lhklYq9yt</t>
  </si>
  <si>
    <t>liaheadrefon1977@gmx.us</t>
  </si>
  <si>
    <t>umxx9YDIeL</t>
  </si>
  <si>
    <t>switpalici1975@gmx.us</t>
  </si>
  <si>
    <t>FEisYlS64I</t>
  </si>
  <si>
    <t>asveesecum1973@gmx.us</t>
  </si>
  <si>
    <t>WL5O4DyHM1</t>
  </si>
  <si>
    <t>ivsouwhisu1983@gmx.us</t>
  </si>
  <si>
    <t>RqocAgWtuu</t>
  </si>
  <si>
    <t>gasthandloberp1985@gmx.us</t>
  </si>
  <si>
    <t>BmAjWeuDkL</t>
  </si>
  <si>
    <t>omuplema1977@gmx.us</t>
  </si>
  <si>
    <t>70qWbqZBY1</t>
  </si>
  <si>
    <t>tioubowinri1983@gmx.us</t>
  </si>
  <si>
    <t>k37JUoUPMc</t>
  </si>
  <si>
    <t>alconcunan1980@gmx.us</t>
  </si>
  <si>
    <t>V3vxtiGUtO</t>
  </si>
  <si>
    <t>wasmadibhelz1976@gmx.us</t>
  </si>
  <si>
    <t>3yQmpo5sTb</t>
  </si>
  <si>
    <t>dentefalpo1983@gmx.us</t>
  </si>
  <si>
    <t>EqMa49JQUd</t>
  </si>
  <si>
    <t>quebionalhi1979@gmx.us</t>
  </si>
  <si>
    <t>A8Ii4L4afT</t>
  </si>
  <si>
    <t>softfitisrou1972@gmx.us</t>
  </si>
  <si>
    <t>HADWauadGc</t>
  </si>
  <si>
    <t>cobrmigsaca1972@gmx.us</t>
  </si>
  <si>
    <t>R9lJp53SVr</t>
  </si>
  <si>
    <t>roametime1971@gmx.us</t>
  </si>
  <si>
    <t>JqE5Qae1pq</t>
  </si>
  <si>
    <t>f4yk8KG49s</t>
  </si>
  <si>
    <t>bottrosapan1972@gmx.us</t>
  </si>
  <si>
    <t>NHWicjrndO</t>
  </si>
  <si>
    <t>adulanbris1974@gmx.us</t>
  </si>
  <si>
    <t>IvU2bPNlJf</t>
  </si>
  <si>
    <t>epephenet1975@gmx.us</t>
  </si>
  <si>
    <t>PpNpXes8BZ</t>
  </si>
  <si>
    <t>18GqwM0m1D</t>
  </si>
  <si>
    <t>jungyorabi1989@gmx.us</t>
  </si>
  <si>
    <t>MTObSAcZsb</t>
  </si>
  <si>
    <t>mulhighcetou1978@gmx.us</t>
  </si>
  <si>
    <t>aTO1we9LXT</t>
  </si>
  <si>
    <t>houmacurqui1970@gmx.us</t>
  </si>
  <si>
    <t>XKmCPkQTuM</t>
  </si>
  <si>
    <t>crypnaducon1975@gmx.us</t>
  </si>
  <si>
    <t>UUU6aqVgCk</t>
  </si>
  <si>
    <t>carperssibu1971@gmx.us</t>
  </si>
  <si>
    <t>aUDdQWkTVO</t>
  </si>
  <si>
    <t>genmasapi1971@gmx.us</t>
  </si>
  <si>
    <t>CdzYCmpunr</t>
  </si>
  <si>
    <t>lotermoging1971@gmx.us</t>
  </si>
  <si>
    <t>VceXoGBVzh</t>
  </si>
  <si>
    <t>glyckarreage1978@gmx.us</t>
  </si>
  <si>
    <t>3OfPgRVPy2</t>
  </si>
  <si>
    <t>trugosghadque1974@gmx.us</t>
  </si>
  <si>
    <t>Plkf95mTAS</t>
  </si>
  <si>
    <t>mengnouciro1970@gmx.us</t>
  </si>
  <si>
    <t>1yFnIn8kGW</t>
  </si>
  <si>
    <t>ringbisici1977@gmx.us</t>
  </si>
  <si>
    <t>rVpUbbsqDw</t>
  </si>
  <si>
    <t>arastrophen1973@gmx.us</t>
  </si>
  <si>
    <t>CPsFPVuFrl</t>
  </si>
  <si>
    <t>dielycounra1974@gmx.us</t>
  </si>
  <si>
    <t>P0IVz2pz74</t>
  </si>
  <si>
    <t>seotrocheltrav1979@gmx.us</t>
  </si>
  <si>
    <t>dcuk08LJIS</t>
  </si>
  <si>
    <t>matchheartsoflimp1978@gmx.us</t>
  </si>
  <si>
    <t>9jLB8EhdvX</t>
  </si>
  <si>
    <t>witsausquambest1973@gmx.us</t>
  </si>
  <si>
    <t>YyezgYU2dC</t>
  </si>
  <si>
    <t>perpulalet1973@gmx.us</t>
  </si>
  <si>
    <t>UBVeCsfJHy</t>
  </si>
  <si>
    <t>lasorlothi1986@gmx.us</t>
  </si>
  <si>
    <t>RdXzJ3f8OZ</t>
  </si>
  <si>
    <t>intfulsanab1979@gmx.us</t>
  </si>
  <si>
    <t>fU2az1E8Fi</t>
  </si>
  <si>
    <t>stalisopvin1988@gmx.us</t>
  </si>
  <si>
    <t>RyIRpRb5Z4</t>
  </si>
  <si>
    <t>rechdimadic1974@gmx.us</t>
  </si>
  <si>
    <t>flfX1TDFr7</t>
  </si>
  <si>
    <t>canhindtelo1989@gmx.us</t>
  </si>
  <si>
    <t>ZNDKRbYbu9</t>
  </si>
  <si>
    <t>lettinghealgue1970@gmx.us</t>
  </si>
  <si>
    <t>0TTsbihPrj</t>
  </si>
  <si>
    <t>rwensulmyaben1970@gmx.us</t>
  </si>
  <si>
    <t>BI2FgKpQy9</t>
  </si>
  <si>
    <t>vlbjpr766@gmx.us</t>
  </si>
  <si>
    <t>DAWE72Vv8</t>
  </si>
  <si>
    <t>sjzbblmq50@gmx.us</t>
  </si>
  <si>
    <t>uuGIsqGKE</t>
  </si>
  <si>
    <t>uomlmjehqm71@gmx.us</t>
  </si>
  <si>
    <t>uUVM50mpv</t>
  </si>
  <si>
    <t>kovdqg8857@gmx.us</t>
  </si>
  <si>
    <t>sgJxXecnX</t>
  </si>
  <si>
    <t>tumaaiyckk2@gmx.us</t>
  </si>
  <si>
    <t>CFudzcEy3Yr</t>
  </si>
  <si>
    <t>xaexlhdxys31@gmx.us</t>
  </si>
  <si>
    <t>EvcirNaFlu4</t>
  </si>
  <si>
    <t>hzmwdl4609@gmx.us</t>
  </si>
  <si>
    <t>qNzxPjva0tf</t>
  </si>
  <si>
    <t>rwkpxxhi24@gmx.us</t>
  </si>
  <si>
    <t>BuaCb3mYi</t>
  </si>
  <si>
    <t>sgtsjseaw158@gmx.us</t>
  </si>
  <si>
    <t>kHKHS7SvA</t>
  </si>
  <si>
    <t>ylqllqr74@gmx.us</t>
  </si>
  <si>
    <t>xfhECkOUa</t>
  </si>
  <si>
    <t>njzmaklzsqm@gmx.us</t>
  </si>
  <si>
    <t>RYymH54n2s</t>
  </si>
  <si>
    <t>ejuahcdcun@gmx.us</t>
  </si>
  <si>
    <t>hFAETMqYp</t>
  </si>
  <si>
    <t>lahbvmq48@gmx.us</t>
  </si>
  <si>
    <t>fkwDA1Uon</t>
  </si>
  <si>
    <t>yugzeuxodwts@gmx.us</t>
  </si>
  <si>
    <t>sswg7DT4h2</t>
  </si>
  <si>
    <t>xkbjmta1721@gmx.us</t>
  </si>
  <si>
    <t>llQn8KwuS5</t>
  </si>
  <si>
    <t>perfortnicstares@mail.com</t>
  </si>
  <si>
    <t>EgbyPWt06s</t>
  </si>
  <si>
    <t>tionaterveter@mail.com</t>
  </si>
  <si>
    <t>QzJ2m2Grsb</t>
  </si>
  <si>
    <t>rajbirthgokicbio@mail.com</t>
  </si>
  <si>
    <t>m5O0qR6oqh</t>
  </si>
  <si>
    <t>dilatitito@mail.com</t>
  </si>
  <si>
    <t>yY4qYyXz7t</t>
  </si>
  <si>
    <t>osencrutdipost@mail.com</t>
  </si>
  <si>
    <t>mEWOdYOdUh</t>
  </si>
  <si>
    <t>slaloranagis@mail.com</t>
  </si>
  <si>
    <t>iR7oYdMYuu</t>
  </si>
  <si>
    <t>deseniperbart@mail.com</t>
  </si>
  <si>
    <t>bvO8ACvYbj</t>
  </si>
  <si>
    <t>vileslicoti@mail.com</t>
  </si>
  <si>
    <t>9npyRQCReu</t>
  </si>
  <si>
    <t>imnaranrefa@mail.com</t>
  </si>
  <si>
    <t>j1ZnFybApW</t>
  </si>
  <si>
    <t>vilpaledmafab@mail.com</t>
  </si>
  <si>
    <t>gZPjUIwFvH</t>
  </si>
  <si>
    <t>landisfdomalherz@mail.com</t>
  </si>
  <si>
    <t>bXwDY5jNAZ</t>
  </si>
  <si>
    <t>tarabliralmo@mail.com</t>
  </si>
  <si>
    <t>ttfUjRkhBW</t>
  </si>
  <si>
    <t>tmethsuispeedoktil@mail.com</t>
  </si>
  <si>
    <t>maDGbFNKJm</t>
  </si>
  <si>
    <t>thovicjanorrgen@mail.com</t>
  </si>
  <si>
    <t>k1LZtv6QWJ</t>
  </si>
  <si>
    <t>saytilohincoi@mail.com</t>
  </si>
  <si>
    <t>wAse22355R</t>
  </si>
  <si>
    <t>herresunredis@mail.com</t>
  </si>
  <si>
    <t>zhUnlgkw69</t>
  </si>
  <si>
    <t>clasonorlowall@mail.com</t>
  </si>
  <si>
    <t>qKmtSOJqbT</t>
  </si>
  <si>
    <t>ciguarmatuaho@mail.com</t>
  </si>
  <si>
    <t>QdoA00uzKB</t>
  </si>
  <si>
    <t>segamofullme@mail.com</t>
  </si>
  <si>
    <t>6TMdA5eXMW</t>
  </si>
  <si>
    <t>clitemtosablie@mail.com</t>
  </si>
  <si>
    <t>WqD6KBMISj</t>
  </si>
  <si>
    <t>soabertsacico@mail.com</t>
  </si>
  <si>
    <t>GBpnsM1WEm</t>
  </si>
  <si>
    <t>loaworworksuppre@mail.com</t>
  </si>
  <si>
    <t>gjBCoYsVte</t>
  </si>
  <si>
    <t>taisintosetmast@mail.com</t>
  </si>
  <si>
    <t>B1B6ezmDIl</t>
  </si>
  <si>
    <t>naitutechquipros@mail.com</t>
  </si>
  <si>
    <t>0fNIttCXRV</t>
  </si>
  <si>
    <t>dappnoncutiro@mail.com</t>
  </si>
  <si>
    <t>EImdFx87ze</t>
  </si>
  <si>
    <t>pertheeaclinpumud@mail.com</t>
  </si>
  <si>
    <t>oBkurwIViR</t>
  </si>
  <si>
    <t>homilunkodo@mail.com</t>
  </si>
  <si>
    <t>61tWWWngv1</t>
  </si>
  <si>
    <t>faitringearlona@mail.com</t>
  </si>
  <si>
    <t>X4BGowXm0H</t>
  </si>
  <si>
    <t>rasisusoces@mail.com</t>
  </si>
  <si>
    <t>iBbTFQCjYF</t>
  </si>
  <si>
    <t>lbusechearreaury@mail.com</t>
  </si>
  <si>
    <t>SAeGJgz95m</t>
  </si>
  <si>
    <t>bleakenunxisve@mail.com</t>
  </si>
  <si>
    <t>ao3Q3MFi9X</t>
  </si>
  <si>
    <t>berxacommuynbus@mail.com</t>
  </si>
  <si>
    <t>rRcmrPlYuN</t>
  </si>
  <si>
    <t>geswielydazap@mail.com</t>
  </si>
  <si>
    <t>nI5w0rDLr8</t>
  </si>
  <si>
    <t>rowvabulnena@mail.com</t>
  </si>
  <si>
    <t>hRCiMLwnhG</t>
  </si>
  <si>
    <t>culnethertoolbme@mail.com</t>
  </si>
  <si>
    <t>hCDDEdUksm</t>
  </si>
  <si>
    <t>armisleuwrecep@mail.com</t>
  </si>
  <si>
    <t>Cqsj5X527m</t>
  </si>
  <si>
    <t>riapracorpoinmas@mail.com</t>
  </si>
  <si>
    <t>sXIolM9kdG</t>
  </si>
  <si>
    <t>suppdursnenistre@mail.com</t>
  </si>
  <si>
    <t>eGECS4bGSg</t>
  </si>
  <si>
    <t>hearcomplatalwi@mail.com</t>
  </si>
  <si>
    <t>ahc9nkJRuP</t>
  </si>
  <si>
    <t>acfonecoohard@mail.com</t>
  </si>
  <si>
    <t>1enTbLyPOZ</t>
  </si>
  <si>
    <t>tabzecobsincche@mail.com</t>
  </si>
  <si>
    <t>HLjyRkPm1T</t>
  </si>
  <si>
    <t>claspalmporpake@mail.com</t>
  </si>
  <si>
    <t>LJ3skk1FUw</t>
  </si>
  <si>
    <t>subdicotdasi@mail.com</t>
  </si>
  <si>
    <t>INElNynDk8</t>
  </si>
  <si>
    <t>vindsulzareli@mail.com</t>
  </si>
  <si>
    <t>NX6hMLMmOi</t>
  </si>
  <si>
    <t>dilvinamama@mail.com</t>
  </si>
  <si>
    <t>TbY9NIeomu</t>
  </si>
  <si>
    <t>rabpimylafer@mail.com</t>
  </si>
  <si>
    <t>xKPOZzevFb</t>
  </si>
  <si>
    <t>suedeszamblobec@mail.com</t>
  </si>
  <si>
    <t>pjYcg8WFpN</t>
  </si>
  <si>
    <t>nofdudhdimortsock@mail.com</t>
  </si>
  <si>
    <t>xWSpIBJUBL</t>
  </si>
  <si>
    <t>naecogsancmactio@mail.com</t>
  </si>
  <si>
    <t>ciCLCdHkxg</t>
  </si>
  <si>
    <t>britluckcabricom@mail.com</t>
  </si>
  <si>
    <t>bCey0oKXYy</t>
  </si>
  <si>
    <t>liadibaspihorn@mail.com</t>
  </si>
  <si>
    <t>HlmDwdx5AW</t>
  </si>
  <si>
    <t>pafapulidea@mail.com</t>
  </si>
  <si>
    <t>8pbzGfYmn6</t>
  </si>
  <si>
    <t>acnaburcblogcau@mail.com</t>
  </si>
  <si>
    <t>6tFEFrmV71</t>
  </si>
  <si>
    <t>bereamotoca@mail.com</t>
  </si>
  <si>
    <t>64AYZVbgAu</t>
  </si>
  <si>
    <t>carvorothite@mail.com</t>
  </si>
  <si>
    <t>ddanYuzHV3</t>
  </si>
  <si>
    <t>mixenorari@mail.com</t>
  </si>
  <si>
    <t>wtyxyYQh0d</t>
  </si>
  <si>
    <t>exaxapirim@mail.com</t>
  </si>
  <si>
    <t>amM3AXsCj0</t>
  </si>
  <si>
    <t>diobrothenterde@mail.com</t>
  </si>
  <si>
    <t>LIO6XsnqML</t>
  </si>
  <si>
    <t>oremaladvah@mail.com</t>
  </si>
  <si>
    <t>jxh4HcY2mW</t>
  </si>
  <si>
    <t>cargemannderrai@mail.com</t>
  </si>
  <si>
    <t>9WQo0bggbR</t>
  </si>
  <si>
    <t>ulunhorbelent@mail.com</t>
  </si>
  <si>
    <t>rhxTKEqGDT</t>
  </si>
  <si>
    <t>frigunweibalmidd@mail.com</t>
  </si>
  <si>
    <t>7JiBPtKh32</t>
  </si>
  <si>
    <t>viasegalmadu@mail.com</t>
  </si>
  <si>
    <t>NDXFA46ViJ</t>
  </si>
  <si>
    <t>druminjuleli@mail.com</t>
  </si>
  <si>
    <t>7ilyVc4nwS</t>
  </si>
  <si>
    <t>laulasrafufo@mail.com</t>
  </si>
  <si>
    <t>f5nBBOgIsA</t>
  </si>
  <si>
    <t>logzuboverge@mail.com</t>
  </si>
  <si>
    <t>pNIn1X0UCC</t>
  </si>
  <si>
    <t>cucounsodigta@mail.com</t>
  </si>
  <si>
    <t>qYRvQlnWOd</t>
  </si>
  <si>
    <t>surfnipbullpresiz@mail.com</t>
  </si>
  <si>
    <t>kspuJodLGt</t>
  </si>
  <si>
    <t>metiseabeche@mail.com</t>
  </si>
  <si>
    <t>OdplkRwGIj</t>
  </si>
  <si>
    <t>quiguekotoppost@mail.com</t>
  </si>
  <si>
    <t>gpowldb1wN</t>
  </si>
  <si>
    <t>bochalkidire@mail.com</t>
  </si>
  <si>
    <t>BFY0lT7OJI</t>
  </si>
  <si>
    <t>planredetanle@mail.com</t>
  </si>
  <si>
    <t>m6GrDuZezx</t>
  </si>
  <si>
    <t>afalnaynisloy@mail.com</t>
  </si>
  <si>
    <t>Ty1HMj5RRI</t>
  </si>
  <si>
    <t>ovunperrader@mail.com</t>
  </si>
  <si>
    <t>TWRGNtSpMO</t>
  </si>
  <si>
    <t>reipergoupicva@mail.com</t>
  </si>
  <si>
    <t>0IE37V6XRU</t>
  </si>
  <si>
    <t>ezunethpacour@mail.com</t>
  </si>
  <si>
    <t>vxkKJZC4pG</t>
  </si>
  <si>
    <t>neskabalneti@mail.com</t>
  </si>
  <si>
    <t>L3z3cSaIEL</t>
  </si>
  <si>
    <t>proscacomvizy@mail.com</t>
  </si>
  <si>
    <t>f7sb4Rz9Zw</t>
  </si>
  <si>
    <t>kanlasensochee@mail.com</t>
  </si>
  <si>
    <t>uzrlF5YWlo</t>
  </si>
  <si>
    <t>founlisulhertcon@mail.com</t>
  </si>
  <si>
    <t>qvGAziGBvS</t>
  </si>
  <si>
    <t>idennarhari@mail.com</t>
  </si>
  <si>
    <t>9VCNtzMNma</t>
  </si>
  <si>
    <t>judroudismise@mail.com</t>
  </si>
  <si>
    <t>9U7fi33i4x</t>
  </si>
  <si>
    <t>downsisyndmamor@mail.com</t>
  </si>
  <si>
    <t>OaW8qofamZ</t>
  </si>
  <si>
    <t>nrepyplalnaicas@mail.com</t>
  </si>
  <si>
    <t>OMHZNlXodm</t>
  </si>
  <si>
    <t>acasfilmetho@mail.com</t>
  </si>
  <si>
    <t>qRsCqJunvb</t>
  </si>
  <si>
    <t>searchnetpbetcaheat@mail.com</t>
  </si>
  <si>
    <t>QjdqbXUWiU</t>
  </si>
  <si>
    <t>landfimeadhora@mail.com</t>
  </si>
  <si>
    <t>n77svu0GAk</t>
  </si>
  <si>
    <t>articuwolfndem@mail.com</t>
  </si>
  <si>
    <t>6C04VyUSIU</t>
  </si>
  <si>
    <t>grimtimargawe@mail.com</t>
  </si>
  <si>
    <t>1bv1KIP1V5</t>
  </si>
  <si>
    <t>navisinerde@mail.com</t>
  </si>
  <si>
    <t>6exurKqfIi</t>
  </si>
  <si>
    <t>ofibatcomu@mail.com</t>
  </si>
  <si>
    <t>Fz64A49P09</t>
  </si>
  <si>
    <t>neypearrinicent@mail.com</t>
  </si>
  <si>
    <t>9bO672zsWz</t>
  </si>
  <si>
    <t>thaicuvitilo@mail.com</t>
  </si>
  <si>
    <t>u9BDplDQpO</t>
  </si>
  <si>
    <t>exompatmeade@mail.com</t>
  </si>
  <si>
    <t>TRhw5XeMuG</t>
  </si>
  <si>
    <t>yndragabhosza@mail.com</t>
  </si>
  <si>
    <t>Ti3sVdhQ4Q</t>
  </si>
  <si>
    <t>breachemunmedes@mail.com</t>
  </si>
  <si>
    <t>I71j8YaE3i</t>
  </si>
  <si>
    <t>ciourafitelfa@mail.com</t>
  </si>
  <si>
    <t>Z6rYxWylCv</t>
  </si>
  <si>
    <t>thovabaranigh@mail.com</t>
  </si>
  <si>
    <t>Vay7N0KbHj</t>
  </si>
  <si>
    <t>benighcogyli@mail.com</t>
  </si>
  <si>
    <t>cvXjpWQc6m</t>
  </si>
  <si>
    <t>infoselconsda@mail.com</t>
  </si>
  <si>
    <t>55aU4vWhKN</t>
  </si>
  <si>
    <t>ziVdvFe7W1 почта без 1</t>
  </si>
  <si>
    <t>xfW9pfsF11 почта без 11</t>
  </si>
  <si>
    <t>r4k61qlT22 почта без 22</t>
  </si>
  <si>
    <t>beV5u860g1 почта без 1</t>
  </si>
  <si>
    <t>SOt8Wi3U11 почта без 11</t>
  </si>
  <si>
    <t>Mxhzh7pj11 почта без 11</t>
  </si>
  <si>
    <t>groreugrutrubre-3237@mail.com</t>
  </si>
  <si>
    <t>TGqcmvV8Bt</t>
  </si>
  <si>
    <t>dateney657@mail.com</t>
  </si>
  <si>
    <t>2VBFDYiFhO</t>
  </si>
  <si>
    <t>hoddeuppotresi-2588@mail.com</t>
  </si>
  <si>
    <t>B8lUjnlnwA</t>
  </si>
  <si>
    <t>degreuvaurauffi-5492@mail.com</t>
  </si>
  <si>
    <t>96R9T49DqF</t>
  </si>
  <si>
    <t>beinibroizucu@mail.com</t>
  </si>
  <si>
    <t>2Q7oT5oxOj</t>
  </si>
  <si>
    <t>peipeimmeuxeke@mail.com</t>
  </si>
  <si>
    <t>rNGMu2abXR</t>
  </si>
  <si>
    <t>juddilluddaupu@mail.com</t>
  </si>
  <si>
    <t>nhGFBlvjZ2</t>
  </si>
  <si>
    <t>weiddenall127ussau@mail.com</t>
  </si>
  <si>
    <t>Pugd6R5lca</t>
  </si>
  <si>
    <t>derihamefe123@mail.com</t>
  </si>
  <si>
    <t>BDk5x4DiRi</t>
  </si>
  <si>
    <t>6MGzb4na1a</t>
  </si>
  <si>
    <t>broxauvapec2354@mail.com</t>
  </si>
  <si>
    <t>850YxLFm0A</t>
  </si>
  <si>
    <t>RalphUnderwood@mail.com</t>
  </si>
  <si>
    <t>kj2GGvgXE4M</t>
  </si>
  <si>
    <t>Albert67Spark@mail.com</t>
  </si>
  <si>
    <t>QgahLHUFA5</t>
  </si>
  <si>
    <t>robertthomas@myself.com</t>
  </si>
  <si>
    <t>2WTiGUjWIvX</t>
  </si>
  <si>
    <t>FredMurray@mail.com</t>
  </si>
  <si>
    <t>Tlsob0v0Ag1</t>
  </si>
  <si>
    <t>ChristopherFisher12@mail.com</t>
  </si>
  <si>
    <t>7ZvqGkYwWq</t>
  </si>
  <si>
    <t>jasonward@email.com</t>
  </si>
  <si>
    <t>fod7xGGN05z</t>
  </si>
  <si>
    <t>Dennis22Dean@mail.com</t>
  </si>
  <si>
    <t>sKlZPFzx6u</t>
  </si>
  <si>
    <t>CharlesClark22@mail.com</t>
  </si>
  <si>
    <t>O3Q5YEVkm6m</t>
  </si>
  <si>
    <t>Robert31Santiago@mail.com</t>
  </si>
  <si>
    <t>Om60oPEdUya</t>
  </si>
  <si>
    <t>KevinMoore13@mail.com</t>
  </si>
  <si>
    <t>qeCVotlrCu1</t>
  </si>
  <si>
    <t>WilliamBrown23@mail.com</t>
  </si>
  <si>
    <t>wmdjyAn9dw6</t>
  </si>
  <si>
    <t>Sc22ottLeonard@mail.com</t>
  </si>
  <si>
    <t>FRGlzvfOCF1</t>
  </si>
  <si>
    <t>RickJohnson54@mail.com</t>
  </si>
  <si>
    <t>bq9ihmB9FLt</t>
  </si>
  <si>
    <t>Daniel66Townsend@mail.com</t>
  </si>
  <si>
    <t>9q1OQ3wbmV1</t>
  </si>
  <si>
    <t>Theodore11Thomas@mail.com</t>
  </si>
  <si>
    <t>4M3fNkmbLqg</t>
  </si>
  <si>
    <t>James11Coleman@mail.com</t>
  </si>
  <si>
    <t>bx4HZNKttgp</t>
  </si>
  <si>
    <t>jacksonale2j@gmx.com:eh9zD1V0wh</t>
  </si>
  <si>
    <t>henrythomas71@gmx.com:gAk39Pije11 почта без 11</t>
  </si>
  <si>
    <t>jamesx5h0white@gmx.com:fb04Xln081</t>
  </si>
  <si>
    <t>wtorresye@gmx.com:q7kzbtoH11 почта без 11</t>
  </si>
  <si>
    <t>juliankingmlo1@gmx.com:Etws2pFbDn</t>
  </si>
  <si>
    <t>hudson915baker@gmx.com:mp1RTzjWM1 почта без 1</t>
  </si>
  <si>
    <t>mat1xseporter@gmx.com:owL5tuo0y11 почта без 11</t>
  </si>
  <si>
    <t>gabqtgecarter@gmx.com:jh513f3JL11 почта без 11</t>
  </si>
  <si>
    <t>martinlooter0392@mail.com</t>
  </si>
  <si>
    <t>2kZ02leo19</t>
  </si>
  <si>
    <t>brownstars3424@mail.com</t>
  </si>
  <si>
    <t>Pandorabox33</t>
  </si>
  <si>
    <t>gisufreppaugo-9654@mail.com</t>
  </si>
  <si>
    <t>Yivy1Z583i</t>
  </si>
  <si>
    <t>guzoiyottifau-5244@mail.com</t>
  </si>
  <si>
    <t>7AzjvCavt3</t>
  </si>
  <si>
    <t>53Casg8hDh</t>
  </si>
  <si>
    <t>prouleisoprobre-9413@mail.com</t>
  </si>
  <si>
    <t>X4OJxX8i3h</t>
  </si>
  <si>
    <t>guvagebrese-6148@mail.com</t>
  </si>
  <si>
    <t>h0ZbzDKqQX</t>
  </si>
  <si>
    <t>hoboukaloisso-2471@mail.com</t>
  </si>
  <si>
    <t>EW545KqMeg</t>
  </si>
  <si>
    <t>beboussawoibu-1491@mail.com</t>
  </si>
  <si>
    <t>rQft7H61p0</t>
  </si>
  <si>
    <t>toibuvajuha-1304@mail.com</t>
  </si>
  <si>
    <t>0dkAVMyrnc</t>
  </si>
  <si>
    <t>grukuquowara-9556@mail.com</t>
  </si>
  <si>
    <t>CttyZmk3AH</t>
  </si>
  <si>
    <t>meissezeddiko-9321@mail.com</t>
  </si>
  <si>
    <t>iZr29opmbG</t>
  </si>
  <si>
    <t>NuPDn6ez3B</t>
  </si>
  <si>
    <t>8T1EYM0k7q</t>
  </si>
  <si>
    <t>tojessoillijoi-9071@mail.com</t>
  </si>
  <si>
    <t>ow6zXp3uXU</t>
  </si>
  <si>
    <t>grunneizeunnata-7473@mail.com</t>
  </si>
  <si>
    <t>6Q3drSwX6i</t>
  </si>
  <si>
    <t>yobenamawa-8802@mail.com</t>
  </si>
  <si>
    <t>E4dAPXTJ7B</t>
  </si>
  <si>
    <t>vugavettufrau-3339@mail.com</t>
  </si>
  <si>
    <t>VXnuff7sCa</t>
  </si>
  <si>
    <t>2AX7tmMhzg</t>
  </si>
  <si>
    <t>gewauddeconi-3567@mail.com</t>
  </si>
  <si>
    <t>KJAT7Avqtm</t>
  </si>
  <si>
    <t>uftdgjaya0332@gmx.com</t>
  </si>
  <si>
    <t>ztlUUYnIDF</t>
  </si>
  <si>
    <t>gbxxwiovi8296@gmx.com</t>
  </si>
  <si>
    <t>HrUdSPMExbX</t>
  </si>
  <si>
    <t>fkufqpnep6@gmx.com</t>
  </si>
  <si>
    <t>xBSSOmntmAP</t>
  </si>
  <si>
    <t>bmpbtqp97@gmx.com</t>
  </si>
  <si>
    <t>TUlP1GZeQJe</t>
  </si>
  <si>
    <t>dycjneysec63@gmx.com</t>
  </si>
  <si>
    <t>eicEiIvOqc7</t>
  </si>
  <si>
    <t>pqexwrqyyi61@gmx.com</t>
  </si>
  <si>
    <t>rqMBlhXeS</t>
  </si>
  <si>
    <t>qxnmpxmujqw6@gmx.com</t>
  </si>
  <si>
    <t>ZCBPbA8mj</t>
  </si>
  <si>
    <t>sbabod814@gmx.com</t>
  </si>
  <si>
    <t>lsRbBpjMet</t>
  </si>
  <si>
    <t>mirykhnvrmcz1@gmx.com</t>
  </si>
  <si>
    <t>NALCHwm6xw</t>
  </si>
  <si>
    <t>tuzxscrlpphk@gmx.com</t>
  </si>
  <si>
    <t>sHZeCZTmBn</t>
  </si>
  <si>
    <t>ugowdkfrzv@gmx.com</t>
  </si>
  <si>
    <t>BynsDojHKVi</t>
  </si>
  <si>
    <t>weqdvcua1240@gmx.com</t>
  </si>
  <si>
    <t>Sdrq7q2HUG</t>
  </si>
  <si>
    <t>qxdixin2794@gmx.com</t>
  </si>
  <si>
    <t>Mqdqc4z3SdR</t>
  </si>
  <si>
    <t>guquzqqjfm7@gmx.com</t>
  </si>
  <si>
    <t>DGQgIZYYo</t>
  </si>
  <si>
    <t>inblrjixs8387@gmx.com</t>
  </si>
  <si>
    <t>tyXQkEWBR</t>
  </si>
  <si>
    <t>ggsmwrrtl@gmx.com</t>
  </si>
  <si>
    <t>KtmPGi234n</t>
  </si>
  <si>
    <t>eufbkpnzb57@gmx.com</t>
  </si>
  <si>
    <t>CfWiDJRaQL</t>
  </si>
  <si>
    <t>hmjmmt9292@gmx.com</t>
  </si>
  <si>
    <t>VfECgg4jEmH</t>
  </si>
  <si>
    <t>chvdqhcfpw@gmx.com</t>
  </si>
  <si>
    <t>PJkRtiWCr</t>
  </si>
  <si>
    <t>tzflkprfwbhrr@gmx.com</t>
  </si>
  <si>
    <t>CGUBcLfBHb</t>
  </si>
  <si>
    <t>egorqlnsol@gmx.com</t>
  </si>
  <si>
    <t>CVnsN7VmpoN</t>
  </si>
  <si>
    <t>vjkanatoliy@gmx.com</t>
  </si>
  <si>
    <t>g9oo6P7H6</t>
  </si>
  <si>
    <t>artur6uszfomin@gmx.com</t>
  </si>
  <si>
    <t>uf5Bbiw3bK0</t>
  </si>
  <si>
    <t>eduardme0i@gmx.com</t>
  </si>
  <si>
    <t>Hlvqj58a905p</t>
  </si>
  <si>
    <t>akxvvaleriy@gmx.com</t>
  </si>
  <si>
    <t>feehdlN0j</t>
  </si>
  <si>
    <t>yuriy_tar@gmx.com</t>
  </si>
  <si>
    <t>fdvmpi1cRbax</t>
  </si>
  <si>
    <t>yaroslavl93@gmx.com</t>
  </si>
  <si>
    <t>M4y1wu59JP</t>
  </si>
  <si>
    <t>sashakuzmin0s@gmx.com</t>
  </si>
  <si>
    <t>dml86Slhuo</t>
  </si>
  <si>
    <t>grigoriys7sr@gmx.com</t>
  </si>
  <si>
    <t>qk500Xndks6</t>
  </si>
  <si>
    <t>burovmkruslan@gmx.com</t>
  </si>
  <si>
    <t>B6xQHlepk</t>
  </si>
  <si>
    <t>nikolaycvmnlog@gmx.com</t>
  </si>
  <si>
    <t>y4VnK4uiab9</t>
  </si>
  <si>
    <t>gennadiyjzem@gmx.com</t>
  </si>
  <si>
    <t>w7akmjAiv</t>
  </si>
  <si>
    <t>dimaof5ysha@gmx.com</t>
  </si>
  <si>
    <t>nkbboY2HF4</t>
  </si>
  <si>
    <t>vyacheslavlarxpn@gmx.com</t>
  </si>
  <si>
    <t>gG1AigGjqN1</t>
  </si>
  <si>
    <t>cha6m6denis@gmx.com</t>
  </si>
  <si>
    <t>KYEdwnpA2</t>
  </si>
  <si>
    <t>fedorno06@gmx.com</t>
  </si>
  <si>
    <t>hqIsyei5nrx</t>
  </si>
  <si>
    <t>borisevl5m@gmx.com</t>
  </si>
  <si>
    <t>C0cnObqrl</t>
  </si>
  <si>
    <t>leonidtitov03@gmx.com</t>
  </si>
  <si>
    <t>o07Gm6pnnlt</t>
  </si>
  <si>
    <t>nov_kirill@gmx.com</t>
  </si>
  <si>
    <t>dif0qChLPm2</t>
  </si>
  <si>
    <t>rogovt243an@gmx.com</t>
  </si>
  <si>
    <t>Rcw8z5yb28</t>
  </si>
  <si>
    <t>pakeumaksim@gmx.com</t>
  </si>
  <si>
    <t>iaExsw1Hj</t>
  </si>
  <si>
    <t>fadeevcm26a@gmx.com</t>
  </si>
  <si>
    <t>idQZoaz9Cao</t>
  </si>
  <si>
    <t>artemtkl3m@gmx.com</t>
  </si>
  <si>
    <t>eUbOn9r279t</t>
  </si>
  <si>
    <t>kra_aleksandr@gmx.com</t>
  </si>
  <si>
    <t>alCn60L6D3</t>
  </si>
  <si>
    <t>petraelcter@gmx.com</t>
  </si>
  <si>
    <t>sbry1sDs90</t>
  </si>
  <si>
    <t>dmiikrivanov@gmx.com</t>
  </si>
  <si>
    <t>N1bckLO37</t>
  </si>
  <si>
    <t>romanvorc70@gmx.com</t>
  </si>
  <si>
    <t>cU0vMcevPj</t>
  </si>
  <si>
    <t>mikhailjjzs@gmx.com</t>
  </si>
  <si>
    <t>wj0qSr8wy1</t>
  </si>
  <si>
    <t>pwxpvadim@gmx.com</t>
  </si>
  <si>
    <t>Eu9ucEgGij</t>
  </si>
  <si>
    <t>igor4lcov@gmx.com</t>
  </si>
  <si>
    <t>b4y9qMQsRbp</t>
  </si>
  <si>
    <t>mikhailche149t@gmx.com</t>
  </si>
  <si>
    <t>r3zlsNZm743</t>
  </si>
  <si>
    <t>tet5zvladislav@gmx.com</t>
  </si>
  <si>
    <t>z27l561Pl1</t>
  </si>
  <si>
    <t>meltzgvladislav@gmx.com</t>
  </si>
  <si>
    <t>lguXuFrh1wd</t>
  </si>
  <si>
    <t>vyacheslav1dcov@gmx.com</t>
  </si>
  <si>
    <t>y5fkz4Voh32r</t>
  </si>
  <si>
    <t>voruo2rnikolay@gmx.com</t>
  </si>
  <si>
    <t>S7cy1gQDCpo</t>
  </si>
  <si>
    <t>grkozlov9x@gmx.com</t>
  </si>
  <si>
    <t>Gxmze4OAn</t>
  </si>
  <si>
    <t>artyomnizbt8@gmx.com</t>
  </si>
  <si>
    <t>d4kxwafS7</t>
  </si>
  <si>
    <t>valeriy_smi@gmx.com</t>
  </si>
  <si>
    <t>j8B2bb8mB</t>
  </si>
  <si>
    <t>arturshanpar@gmx.com</t>
  </si>
  <si>
    <t>bc9osc1n0V5</t>
  </si>
  <si>
    <t>vitaliykoig6r@gmx.com</t>
  </si>
  <si>
    <t>a1jujU1O8m</t>
  </si>
  <si>
    <t>egorgc46be@gmx.com</t>
  </si>
  <si>
    <t>s7Bsj1fz7</t>
  </si>
  <si>
    <t>zaymuuvalentin@gmx.com</t>
  </si>
  <si>
    <t>odHF7kWl8r</t>
  </si>
  <si>
    <t>sh9qmikhail@gmx.com</t>
  </si>
  <si>
    <t>FaQ1aDHx6wd</t>
  </si>
  <si>
    <t>valentinkulrj@gmx.com</t>
  </si>
  <si>
    <t>x6StyFFvaa</t>
  </si>
  <si>
    <t>sok-pyotr@gmx.com</t>
  </si>
  <si>
    <t>fz0Xvne4wxe</t>
  </si>
  <si>
    <t>mikhaily3azk@gmx.com</t>
  </si>
  <si>
    <t>uto42d6mAi</t>
  </si>
  <si>
    <t>v9xicegor@gmx.com</t>
  </si>
  <si>
    <t>vkbNvFlg1</t>
  </si>
  <si>
    <t>georgiyer0i@gmx.com</t>
  </si>
  <si>
    <t>wx1Hsg9h0GV</t>
  </si>
  <si>
    <t>rod.petr@gmx.com</t>
  </si>
  <si>
    <t>ob097xtD1bP</t>
  </si>
  <si>
    <t>sidd8xsasha@gmx.com</t>
  </si>
  <si>
    <t>FldkVV9Z4Hr</t>
  </si>
  <si>
    <t>petasav1997@gmx.com</t>
  </si>
  <si>
    <t>Gn5QOuChr</t>
  </si>
  <si>
    <t>mahalaif9jbi@gmx.com</t>
  </si>
  <si>
    <t>RrUrt0xYofX</t>
  </si>
  <si>
    <t>Wjqy5sfvsr</t>
  </si>
  <si>
    <t>megganpar00@gmx.com</t>
  </si>
  <si>
    <t>ps58e9zn9A</t>
  </si>
  <si>
    <t>janeans3h@gmx.com</t>
  </si>
  <si>
    <t>xvT0HW11opJ</t>
  </si>
  <si>
    <t>cAjg0V33um</t>
  </si>
  <si>
    <t>brittap70xn@gmx.com</t>
  </si>
  <si>
    <t>u8fqqtviBB3</t>
  </si>
  <si>
    <t>yyGyf2uboki</t>
  </si>
  <si>
    <t>duanavu2@gmx.com</t>
  </si>
  <si>
    <t>HpBpzga90i3</t>
  </si>
  <si>
    <t>pagetsodada@gmx.com</t>
  </si>
  <si>
    <t>d8810befB5b</t>
  </si>
  <si>
    <t>shila.luzar@gmx.com</t>
  </si>
  <si>
    <t>hjX59km4mr5</t>
  </si>
  <si>
    <t>kendalporlg@gmx.com</t>
  </si>
  <si>
    <t>a6O5M171yn</t>
  </si>
  <si>
    <t>nransom98@gmx.com</t>
  </si>
  <si>
    <t>en07xe3BTdI</t>
  </si>
  <si>
    <t>mau9oirickie@gmx.com</t>
  </si>
  <si>
    <t>x169yZE0KSa</t>
  </si>
  <si>
    <t>astrashbkm@gmx.com</t>
  </si>
  <si>
    <t>lCj3ieRg68l</t>
  </si>
  <si>
    <t>conwayd56dgampp@gmx.com</t>
  </si>
  <si>
    <t>szVh0kr3pc3</t>
  </si>
  <si>
    <t>Fz9GMq3Y1</t>
  </si>
  <si>
    <t>genia-ashley@gmx.com</t>
  </si>
  <si>
    <t>VeZtUM74L</t>
  </si>
  <si>
    <t>amal_carey@gmx.com</t>
  </si>
  <si>
    <t>e4Y2brTSy2g</t>
  </si>
  <si>
    <t>rochelglos2000@gmx.com</t>
  </si>
  <si>
    <t>sKxdo5i4Ejz</t>
  </si>
  <si>
    <t>tomokofec@gmx.com</t>
  </si>
  <si>
    <t>hN86u3lg99</t>
  </si>
  <si>
    <t>shizuesii4tp@gmx.com</t>
  </si>
  <si>
    <t>jkstSJfv4</t>
  </si>
  <si>
    <t xml:space="preserve">aureqouripu95@o2.pl // dvrltxk77@gmx.com
</t>
  </si>
  <si>
    <t>BJfB6Ja9oSo</t>
  </si>
  <si>
    <t xml:space="preserve">udihaqyqlatuj@o2.pl // sfiljxsbzxj0@gmx.com
</t>
  </si>
  <si>
    <t>G93HqJVksM</t>
  </si>
  <si>
    <t xml:space="preserve">ejaogehzovav94@o2.pl // ofkjbbiztdt2@gmx.com
</t>
  </si>
  <si>
    <t>hDI7wAGmA</t>
  </si>
  <si>
    <t xml:space="preserve">ojaruovsokah@o2.pl // ulaujmghclix@gmx.com
</t>
  </si>
  <si>
    <t>YBMUKkX7UJ</t>
  </si>
  <si>
    <t>enolamipfulena@yahoo.com // wcwqvarfc783@gmx.com</t>
  </si>
  <si>
    <t>mcHtxm8w5Z</t>
  </si>
  <si>
    <t>chaz7jboddie@yahoo.com</t>
  </si>
  <si>
    <t>jlyzZhc7</t>
  </si>
  <si>
    <t>DuNYFvqnW +1</t>
  </si>
  <si>
    <t>rdQkrxZUN +1</t>
  </si>
  <si>
    <t>mburnsy7b@mail.com</t>
  </si>
  <si>
    <t>QLZs5fvc4aaa</t>
  </si>
  <si>
    <t>VQGkoyluu +1</t>
  </si>
  <si>
    <t>RrlJgaqAr +1</t>
  </si>
  <si>
    <t>lwusxqdqvl@gmx.com</t>
  </si>
  <si>
    <t>josephclark746498807@hotmail.com</t>
  </si>
  <si>
    <t>byouNZnDA +1</t>
  </si>
  <si>
    <t>pacobrynteson@mail.com</t>
  </si>
  <si>
    <t>r5oSdF7iU3</t>
  </si>
  <si>
    <t>rousurimarda@gmx.com</t>
  </si>
  <si>
    <t>agfoRtPgZu</t>
  </si>
  <si>
    <t>suttonfrancis91@mail.com</t>
  </si>
  <si>
    <t>fWN2e12iLTZ</t>
  </si>
  <si>
    <t>rosycfivybutu98@o2.pl</t>
  </si>
  <si>
    <t>0jFRJyBwr</t>
  </si>
  <si>
    <t>hoytshi7t@gmx.com</t>
  </si>
  <si>
    <t>groreugrutrubr-3237@mail.com</t>
  </si>
  <si>
    <t>juddilldudaupu@mail.com</t>
  </si>
  <si>
    <t>udihayqylatuj@o2.pl</t>
  </si>
  <si>
    <t>ojaruvosokah@o2.pl</t>
  </si>
  <si>
    <t>aureqoripuq95@o2.pl</t>
  </si>
  <si>
    <t>yvseryetalecave89@o2.pl</t>
  </si>
  <si>
    <t>PXqTlbfxU +1</t>
  </si>
  <si>
    <t>iLnrhoPLo +1</t>
  </si>
  <si>
    <t>4j307qFVJC</t>
  </si>
  <si>
    <t>larrybrown22@mail.com</t>
  </si>
  <si>
    <t>d9iFhyQgsM</t>
  </si>
  <si>
    <t>kevin55guerrero@mail.com</t>
  </si>
  <si>
    <t>D2td3LwMcj</t>
  </si>
  <si>
    <t>curtis66ford@mail.com</t>
  </si>
  <si>
    <t>g99YwnTwJB</t>
  </si>
  <si>
    <t>t9DVqQOT3E</t>
  </si>
  <si>
    <t>i055fbCeY + 11</t>
  </si>
  <si>
    <t>rF6nsEdQ + 11</t>
  </si>
  <si>
    <t>ducgtioindou57@gmx.net</t>
  </si>
  <si>
    <t>piethromsusquih8@gmx.net</t>
  </si>
  <si>
    <t>uedyffiias@gmx.com</t>
  </si>
  <si>
    <t>mW22s2d2w +11</t>
  </si>
  <si>
    <t>jdtrF89v +11</t>
  </si>
  <si>
    <t>f1Utqte34 +11</t>
  </si>
  <si>
    <t>ngS48REbzK+11</t>
  </si>
  <si>
    <t>t0w1jMp9lD+11</t>
  </si>
  <si>
    <t>rfoyfoifr52@gmx.com</t>
  </si>
  <si>
    <t>imbsbmytgq86@gmx.com</t>
  </si>
  <si>
    <t>fijhzsrsi30@gmx.com</t>
  </si>
  <si>
    <t>syyxbonyrlu2mi@gmx.com</t>
  </si>
  <si>
    <t>NQvZNQoCL</t>
  </si>
  <si>
    <t>vjpktzrz2795@gmx.com</t>
  </si>
  <si>
    <t>ocWJwsmUa</t>
  </si>
  <si>
    <t>nwjwsyls42@gmx.com</t>
  </si>
  <si>
    <t>ehpdt4816@gmx.com</t>
  </si>
  <si>
    <t>YECjZNmtx</t>
  </si>
  <si>
    <t>mzqxtqqdle@gmx.com</t>
  </si>
  <si>
    <t>lkfzniskqus@gmx.com</t>
  </si>
  <si>
    <t>ebslyftj696@gmx.com</t>
  </si>
  <si>
    <t>susiex4oegordan@yahoo.com</t>
  </si>
  <si>
    <t>erQhb2960q</t>
  </si>
  <si>
    <t>esmayososaya1999@mail.com</t>
  </si>
  <si>
    <t>sauclemlisporan@mail.com</t>
  </si>
  <si>
    <t>NdD9t2Wbce</t>
  </si>
  <si>
    <t>livorfimaby@mail.com</t>
  </si>
  <si>
    <t>amarsofcostsimp@mail.com</t>
  </si>
  <si>
    <t>lzcAUhAw7Y</t>
  </si>
  <si>
    <t>nedchieresnesscel@mail.com</t>
  </si>
  <si>
    <t>ON43tkFD5C</t>
  </si>
  <si>
    <t>lusriocorbeni@mail.com</t>
  </si>
  <si>
    <t>anloasicomppinp@mail.com</t>
  </si>
  <si>
    <t>55l9pyF6aE</t>
  </si>
  <si>
    <t>billilvqac@gmx.com</t>
  </si>
  <si>
    <t>wb86shsg1Od</t>
  </si>
  <si>
    <t>xeverly5ddgi@mail.ru</t>
  </si>
  <si>
    <t>AKgo1XrVKO</t>
  </si>
  <si>
    <t>6er8sWdnviHg</t>
  </si>
  <si>
    <t>geotansi@mail.com</t>
  </si>
  <si>
    <t>p0Xr7Adkb4</t>
  </si>
  <si>
    <t>degreuvauaraffi-5492@mail.com</t>
  </si>
  <si>
    <t>charlesclark22@mail.com</t>
  </si>
  <si>
    <t>ngS48REbzK + 11</t>
  </si>
  <si>
    <t>Zxcvbnm+39</t>
  </si>
  <si>
    <t>q7-W0G2oY*q@!8Tq</t>
  </si>
  <si>
    <t>kristeenzens@mail-me.com</t>
  </si>
  <si>
    <t>mW22s2d2w + 11</t>
  </si>
  <si>
    <t>u1Olya73o + 11</t>
  </si>
  <si>
    <t>wj333V0smp + 11</t>
  </si>
  <si>
    <t>bensilvack8@gmx.com</t>
  </si>
  <si>
    <t>sharrezohar1995@mail.com</t>
  </si>
  <si>
    <t>udihaqyqlatuj@o2.pl</t>
  </si>
  <si>
    <t xml:space="preserve">miOCgAVWS OR G93HqJVksM
</t>
  </si>
  <si>
    <t>constuamacuhu@mail.com</t>
  </si>
  <si>
    <t>arsanesnora@mail.com</t>
  </si>
  <si>
    <t>cjrusskhilhk@gmx.com</t>
  </si>
  <si>
    <t>bjrmwoqhxx8@gmx.com</t>
  </si>
  <si>
    <t>hirseelbay@outlook.com</t>
  </si>
  <si>
    <t>HardВ1Shop4</t>
  </si>
  <si>
    <t>hanzamayer@outlook.com</t>
  </si>
  <si>
    <t>CVX1w7fXkj</t>
  </si>
  <si>
    <t>mclaughlinkayla1996@mail.com</t>
  </si>
  <si>
    <t>anapple_1267</t>
  </si>
  <si>
    <t>gordonrandall1988@mail.com</t>
  </si>
  <si>
    <t>JwoUKqFmk8</t>
  </si>
  <si>
    <t>augustoaoc@gmx.com</t>
  </si>
  <si>
    <t>Zxcvbnm+97</t>
  </si>
  <si>
    <t>sharrerzohar1995@mail.com</t>
  </si>
  <si>
    <t>jjbow4353@gmx.com</t>
  </si>
  <si>
    <t>zdcjmhd064@gmx.com</t>
  </si>
  <si>
    <t>jsjtutgsl5@gmx.com</t>
  </si>
  <si>
    <t>ebslyftij696@gmx.com</t>
  </si>
  <si>
    <t>ecurvhtxwgqn@gmx.com</t>
  </si>
  <si>
    <t>No Password Found</t>
  </si>
  <si>
    <t>acrocihobthing@mail.com</t>
  </si>
  <si>
    <t>Sandarai7Y!</t>
  </si>
  <si>
    <t>perfornticstares@mail.com</t>
  </si>
  <si>
    <t>eryuvohudbab1994@o2.pl</t>
  </si>
  <si>
    <t>esoxypqsorilku@o2.pl</t>
  </si>
  <si>
    <t>aqeavyfiyruyzaw91@o2.pl</t>
  </si>
  <si>
    <t>mumoserehezuvo@o2.pl</t>
  </si>
  <si>
    <t>dudleysfsc@mail.com</t>
  </si>
  <si>
    <t>rosbotham@mail.com</t>
  </si>
  <si>
    <t>hollis.hillie@mail.com</t>
  </si>
  <si>
    <t>fayzalisokpl@mail.ru</t>
  </si>
  <si>
    <t>mkmvnwiwmwr@gmx.com</t>
  </si>
  <si>
    <t>qapithmwwizs@gmx.com</t>
  </si>
  <si>
    <t>charlesdw88@gmx.com</t>
  </si>
  <si>
    <t>rcplnpyy422@gmx.com</t>
  </si>
  <si>
    <t>acroichobthing@mail.com</t>
  </si>
  <si>
    <t>nxdhhhhrcr685@gmx.com</t>
  </si>
  <si>
    <t>ytynomebirqo1998@o2.pl</t>
  </si>
  <si>
    <t>elebiuwybahu@o2.pl</t>
  </si>
  <si>
    <t>yzidyjiaqabena@o2.pl</t>
  </si>
  <si>
    <t>gopujuqaizap1998@o2.pl</t>
  </si>
  <si>
    <t>anthonywilliamson@gmx.com</t>
  </si>
  <si>
    <t>seowretvetsjetvi@mail.com</t>
  </si>
  <si>
    <t>XNyo3XFdqbM</t>
  </si>
  <si>
    <t>pzlxlj042@gmx.com</t>
  </si>
  <si>
    <t>gI9vcoMS7R</t>
  </si>
  <si>
    <t>zufdobzubso1@gmx.com</t>
  </si>
  <si>
    <t>cSKtNQmV6D</t>
  </si>
  <si>
    <t>zfgflov6701@gmx.com</t>
  </si>
  <si>
    <t>udlVEWmo5iB</t>
  </si>
  <si>
    <t>PoncsBGBS</t>
  </si>
  <si>
    <t>amqjfnv3217@gmx.com</t>
  </si>
  <si>
    <t>GS6yz7RerMb</t>
  </si>
  <si>
    <t>onzllipxw8@gmx.com</t>
  </si>
  <si>
    <t>XjaooNLse</t>
  </si>
  <si>
    <t>ylcthluotu8@gmx.com</t>
  </si>
  <si>
    <t>fQGDD8P7j</t>
  </si>
  <si>
    <t>WLcQznSSjkv</t>
  </si>
  <si>
    <t>foncjleoazcvu@gmx.com</t>
  </si>
  <si>
    <t>eW13cqa9E4X</t>
  </si>
  <si>
    <t>ufwnfqjhprwwy@gmx.com</t>
  </si>
  <si>
    <t>Yt5mjV3q0</t>
  </si>
  <si>
    <t>tfltgib245@gmx.com</t>
  </si>
  <si>
    <t>aIrdjhD0M</t>
  </si>
  <si>
    <t>krukri965@gmx.com</t>
  </si>
  <si>
    <t>Hw0zABJFeC</t>
  </si>
  <si>
    <t>oxbfracxk@gmx.com</t>
  </si>
  <si>
    <t>dk6ayeoPV</t>
  </si>
  <si>
    <t>andpgzgr7@gmx.com</t>
  </si>
  <si>
    <t>vSSi1yKuPg</t>
  </si>
  <si>
    <t>hbivk2909@gmx.com</t>
  </si>
  <si>
    <t>TsymC4zX9W</t>
  </si>
  <si>
    <t>tdqkotigjmxox@gmx.com</t>
  </si>
  <si>
    <t>RbNKFyNvCDq</t>
  </si>
  <si>
    <t>qnamxvdujab82@gmx.com</t>
  </si>
  <si>
    <t>alIeM7Sqv</t>
  </si>
  <si>
    <t>mudagxzjjsqh@gmx.com</t>
  </si>
  <si>
    <t>Qq2WkyHHZL</t>
  </si>
  <si>
    <t>pynauhzgqn527@gmx.com</t>
  </si>
  <si>
    <t>rhiD7S3eWv</t>
  </si>
  <si>
    <t>xbmqhfqoy842@gmx.com</t>
  </si>
  <si>
    <t>JJFg3PC9BQl</t>
  </si>
  <si>
    <t>dhrcm7123@gmx.com</t>
  </si>
  <si>
    <t>RvgsBQ1p6</t>
  </si>
  <si>
    <t>rwuyton60@gmx.com</t>
  </si>
  <si>
    <t>zJAWVVyLX</t>
  </si>
  <si>
    <t>pbtwdrhziw24@gmx.com</t>
  </si>
  <si>
    <t>swucENGiynb</t>
  </si>
  <si>
    <t>elvnslp9679@gmx.com</t>
  </si>
  <si>
    <t>WZNFwj5Tx</t>
  </si>
  <si>
    <t>hojzkbvegx@gmx.com</t>
  </si>
  <si>
    <t>pcRYajPXQIC</t>
  </si>
  <si>
    <t>trnthauif809@gmx.com</t>
  </si>
  <si>
    <t>lgtCBgSRYGs</t>
  </si>
  <si>
    <t>iuychazw757@gmx.com</t>
  </si>
  <si>
    <t>YRSuOaI2Ovj</t>
  </si>
  <si>
    <t>dhitijnngvkf@gmx.com</t>
  </si>
  <si>
    <t>AzYumDteDpW</t>
  </si>
  <si>
    <t>psrchcfoi090@gmx.com</t>
  </si>
  <si>
    <t>TWzEsO4JTOz</t>
  </si>
  <si>
    <t>jwwwfxjxbe9@gmx.com</t>
  </si>
  <si>
    <t>ATUv8mQscEP</t>
  </si>
  <si>
    <t>hjethtrk9@gmx.com</t>
  </si>
  <si>
    <t>rl65gKsCiG</t>
  </si>
  <si>
    <t>axzbqpaad0809@gmx.com</t>
  </si>
  <si>
    <t>EA9AJMlvNQw</t>
  </si>
  <si>
    <t>rfxjwpjxujnp2@gmx.com</t>
  </si>
  <si>
    <t>tWQVrESfJ</t>
  </si>
  <si>
    <t>zlqzxkxzq3@gmx.com</t>
  </si>
  <si>
    <t>UKbykTa02</t>
  </si>
  <si>
    <t>unbwdsqdxcv32@gmx.com</t>
  </si>
  <si>
    <t>mearoP7r6oM</t>
  </si>
  <si>
    <t>tqliksatt4882@gmx.com</t>
  </si>
  <si>
    <t>jz9vWREYYY</t>
  </si>
  <si>
    <t>tlhwtco4158@gmx.com</t>
  </si>
  <si>
    <t>HA6o4GJuis</t>
  </si>
  <si>
    <t>vwnuxtagugxk@gmx.com</t>
  </si>
  <si>
    <t>gpHC1fPO0</t>
  </si>
  <si>
    <t>zvdmvkkbcy25@gmx.com</t>
  </si>
  <si>
    <t>BfT7O32VY</t>
  </si>
  <si>
    <t>ownnqlemn2@gmx.com</t>
  </si>
  <si>
    <t>lmGm4rxvRc</t>
  </si>
  <si>
    <t>pxobnio3012@gmx.com</t>
  </si>
  <si>
    <t>uZ1u80iZo</t>
  </si>
  <si>
    <t>zgjjo9076@gmx.com</t>
  </si>
  <si>
    <t>XkSWSlPQ6i</t>
  </si>
  <si>
    <t>rhllhs951@gmx.com</t>
  </si>
  <si>
    <t>tUBHfYw491</t>
  </si>
  <si>
    <t>ipoxhasa99@gmx.com</t>
  </si>
  <si>
    <t>KeWfnn9nY</t>
  </si>
  <si>
    <t>bnzal1979@gmx.com</t>
  </si>
  <si>
    <t>kT9uurXLvm</t>
  </si>
  <si>
    <t>ufBZjWM6c3</t>
  </si>
  <si>
    <t>wkacnrnt51@gmx.com</t>
  </si>
  <si>
    <t>BgXVNIGh7JJ</t>
  </si>
  <si>
    <t>jzkqdvcqhz4@gmx.com</t>
  </si>
  <si>
    <t>iUVZfDyal</t>
  </si>
  <si>
    <t>zzsrbqvm7607@gmx.com</t>
  </si>
  <si>
    <t>OiPcEcvSLh6</t>
  </si>
  <si>
    <t>pnujmzjvrus8@gmx.com</t>
  </si>
  <si>
    <t>GeNg4NmRj</t>
  </si>
  <si>
    <t>paowrditmvl@gmx.com</t>
  </si>
  <si>
    <t>qcFCutg1a7</t>
  </si>
  <si>
    <t>lqlqngjxxon01@gmx.com</t>
  </si>
  <si>
    <t>dxTlfc2Lj</t>
  </si>
  <si>
    <t>jvwlssb2052@gmx.com</t>
  </si>
  <si>
    <t>nmqQqtGzM</t>
  </si>
  <si>
    <t>ynaecwazc@gmx.com</t>
  </si>
  <si>
    <t>qtb1MMqzI</t>
  </si>
  <si>
    <t>cvcvdacil4@gmx.com</t>
  </si>
  <si>
    <t>SNONOhiuq3</t>
  </si>
  <si>
    <t>uwtujdadjk232@gmx.com</t>
  </si>
  <si>
    <t>PFAiL6Vwie</t>
  </si>
  <si>
    <t>oUwjCIUzdFx</t>
  </si>
  <si>
    <t>BW3v4mmogfT</t>
  </si>
  <si>
    <t>janrniwwsg@gmx.com</t>
  </si>
  <si>
    <t>itxq9NiCV</t>
  </si>
  <si>
    <t>uknwfqfahv3@gmx.com</t>
  </si>
  <si>
    <t>svRgdxvqxlW</t>
  </si>
  <si>
    <t>qhvxtfkv3@gmx.com</t>
  </si>
  <si>
    <t>xAhJsSQwT</t>
  </si>
  <si>
    <t>katrz3800@gmx.com</t>
  </si>
  <si>
    <t>WSLmsw3of</t>
  </si>
  <si>
    <t>etxajnpr0341@gmx.com</t>
  </si>
  <si>
    <t>rbQTD3reB</t>
  </si>
  <si>
    <t>frjpuvt99@gmx.com</t>
  </si>
  <si>
    <t>mXVofNvMmb</t>
  </si>
  <si>
    <t>nujrilcvi1@gmx.com</t>
  </si>
  <si>
    <t>mFXwvvemswV</t>
  </si>
  <si>
    <t>DLizjBKNjJ</t>
  </si>
  <si>
    <t>kcijh8375@gmx.com</t>
  </si>
  <si>
    <t>mh5MaS0Ag1</t>
  </si>
  <si>
    <t>iadkgtst6791@gmx.com</t>
  </si>
  <si>
    <t>UqkF6OeeVAO</t>
  </si>
  <si>
    <t>mysmpjnn149@gmx.com</t>
  </si>
  <si>
    <t>svQmdrNndJ1</t>
  </si>
  <si>
    <t>lrilzehafzjg0@gmx.com</t>
  </si>
  <si>
    <t>CfrSdm2BN3t</t>
  </si>
  <si>
    <t>wszoph3746@gmx.com</t>
  </si>
  <si>
    <t>xvrHoNXT76</t>
  </si>
  <si>
    <t>zuxiifwxthc2@gmx.com</t>
  </si>
  <si>
    <t>KSZJYnw30</t>
  </si>
  <si>
    <t>ggpbtwc13@gmx.com</t>
  </si>
  <si>
    <t>YpINJ0nE7oJ</t>
  </si>
  <si>
    <t>xvpwlbywpc55@gmx.com</t>
  </si>
  <si>
    <t>QmhtJbPguG</t>
  </si>
  <si>
    <t>tZkhYVTpM</t>
  </si>
  <si>
    <t>txgemw4767@gmx.com</t>
  </si>
  <si>
    <t>uc8nnYvBKqk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</si>
</sst>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&quot;-&quot;mm&quot;-&quot;dd"/>
    <numFmt numFmtId="165" formatCode="yyyy\-mm\-dd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36"/>
      <color rgb="FFFFFFFF"/>
      <name val="Montserrat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Roboto"/>
    </font>
    <font>
      <u/>
      <sz val="11"/>
      <color rgb="FF0000FF"/>
      <name val="Calibri"/>
    </font>
    <font>
      <u/>
      <sz val="11"/>
      <color rgb="FFFF0000"/>
      <name val="Roboto"/>
    </font>
    <font>
      <u/>
      <sz val="11"/>
      <color rgb="FF1155CC"/>
      <name val="Calibri"/>
    </font>
    <font>
      <b/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946E"/>
        <bgColor rgb="FF00946E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" fontId="3" fillId="0" borderId="0" xfId="0" applyNumberFormat="1" applyFont="1"/>
    <xf numFmtId="0" fontId="7" fillId="0" borderId="0" xfId="0" applyFont="1"/>
    <xf numFmtId="0" fontId="8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165" fontId="3" fillId="0" borderId="0" xfId="0" applyNumberFormat="1" applyFont="1"/>
    <xf numFmtId="0" fontId="11" fillId="0" borderId="0" xfId="0" applyFont="1"/>
    <xf numFmtId="0" fontId="12" fillId="0" borderId="0" xfId="0" applyFont="1"/>
    <xf numFmtId="0" fontId="12" fillId="3" borderId="1" xfId="0" applyFont="1" applyFill="1" applyBorder="1"/>
    <xf numFmtId="0" fontId="12" fillId="3" borderId="2" xfId="0" applyFont="1" applyFill="1" applyBorder="1"/>
    <xf numFmtId="0" fontId="12" fillId="0" borderId="1" xfId="0" applyFont="1" applyBorder="1"/>
    <xf numFmtId="0" fontId="1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0" fontId="3" fillId="3" borderId="2" xfId="0" applyFont="1" applyFill="1" applyBorder="1"/>
    <xf numFmtId="0" fontId="11" fillId="3" borderId="1" xfId="0" applyFont="1" applyFill="1" applyBorder="1"/>
  </cellXfs>
  <cellStyles count="1">
    <cellStyle name="Обычный" xfId="0" builtinId="0"/>
  </cellStyles>
  <dxfs count="6">
    <dxf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i/>
        <strike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BB6C0"/>
          <bgColor rgb="FFABB6C0"/>
        </patternFill>
      </fill>
    </dxf>
  </dxfs>
  <tableStyles count="1" defaultTableStyle="TableStyleMedium2" defaultPivotStyle="PivotStyleLight16">
    <tableStyle name="Bookings-style" pivot="0" count="3" xr9:uid="{162FF5C8-EBD9-47E4-8F24-6FE39F56B11E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USA2024\iphone\database.xlsx" TargetMode="External"/><Relationship Id="rId1" Type="http://schemas.openxmlformats.org/officeDocument/2006/relationships/externalLinkPath" Target="file:///J:\USA2024\iphone\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s"/>
      <sheetName val="Accounts_Reward"/>
      <sheetName val="Accounts_State"/>
      <sheetName val="Sales"/>
      <sheetName val="Bookings"/>
      <sheetName val="Database"/>
      <sheetName val="Stats"/>
      <sheetName val="Hotels"/>
      <sheetName val="Hotel_Status_Log"/>
      <sheetName val="Hotel_State"/>
      <sheetName val="Next_Work"/>
      <sheetName val="Rules"/>
      <sheetName val="Hotel_Pool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HotelID</v>
          </cell>
          <cell r="B1" t="str">
            <v>HotelName</v>
          </cell>
        </row>
        <row r="2">
          <cell r="A2" t="str">
            <v>H001</v>
          </cell>
          <cell r="B2" t="e">
            <v>#NAME?</v>
          </cell>
        </row>
        <row r="3">
          <cell r="A3" t="str">
            <v>H002</v>
          </cell>
          <cell r="B3" t="e">
            <v>#NAME?</v>
          </cell>
        </row>
        <row r="4">
          <cell r="A4" t="str">
            <v>H003</v>
          </cell>
          <cell r="B4" t="e">
            <v>#NAME?</v>
          </cell>
        </row>
        <row r="5">
          <cell r="A5" t="str">
            <v>H004</v>
          </cell>
          <cell r="B5" t="e">
            <v>#NAME?</v>
          </cell>
        </row>
        <row r="6">
          <cell r="A6" t="str">
            <v>H005</v>
          </cell>
          <cell r="B6" t="e">
            <v>#NAME?</v>
          </cell>
        </row>
        <row r="7">
          <cell r="A7" t="str">
            <v>H006</v>
          </cell>
          <cell r="B7" t="e">
            <v>#NAME?</v>
          </cell>
        </row>
        <row r="8">
          <cell r="A8" t="str">
            <v>H007</v>
          </cell>
          <cell r="B8" t="e">
            <v>#NAME?</v>
          </cell>
        </row>
        <row r="9">
          <cell r="A9" t="str">
            <v>H008</v>
          </cell>
          <cell r="B9" t="e">
            <v>#NAME?</v>
          </cell>
        </row>
        <row r="10">
          <cell r="A10" t="str">
            <v>H009</v>
          </cell>
          <cell r="B10" t="e">
            <v>#NAME?</v>
          </cell>
        </row>
        <row r="11">
          <cell r="A11" t="str">
            <v>H010</v>
          </cell>
          <cell r="B11" t="e">
            <v>#NAME?</v>
          </cell>
        </row>
        <row r="12">
          <cell r="A12" t="str">
            <v>H011</v>
          </cell>
          <cell r="B12" t="e">
            <v>#NAME?</v>
          </cell>
        </row>
        <row r="13">
          <cell r="A13" t="str">
            <v>H012</v>
          </cell>
          <cell r="B13" t="e">
            <v>#NAME?</v>
          </cell>
        </row>
        <row r="14">
          <cell r="A14" t="str">
            <v>H013</v>
          </cell>
          <cell r="B14" t="e">
            <v>#NAME?</v>
          </cell>
        </row>
        <row r="15">
          <cell r="A15" t="str">
            <v>H014</v>
          </cell>
          <cell r="B15" t="e">
            <v>#NAME?</v>
          </cell>
        </row>
        <row r="16">
          <cell r="A16" t="str">
            <v>H015</v>
          </cell>
          <cell r="B16" t="e">
            <v>#NAME?</v>
          </cell>
        </row>
        <row r="17">
          <cell r="A17" t="str">
            <v>H016</v>
          </cell>
          <cell r="B17" t="e">
            <v>#NAME?</v>
          </cell>
        </row>
        <row r="18">
          <cell r="A18" t="str">
            <v>H017</v>
          </cell>
          <cell r="B18" t="e">
            <v>#NAME?</v>
          </cell>
        </row>
        <row r="19">
          <cell r="A19" t="str">
            <v>H018</v>
          </cell>
          <cell r="B19" t="e">
            <v>#NAME?</v>
          </cell>
        </row>
        <row r="20">
          <cell r="A20" t="str">
            <v>H019</v>
          </cell>
          <cell r="B20" t="e">
            <v>#NAME?</v>
          </cell>
        </row>
        <row r="21">
          <cell r="A21" t="str">
            <v>H020</v>
          </cell>
          <cell r="B21" t="e">
            <v>#NAME?</v>
          </cell>
        </row>
        <row r="22">
          <cell r="A22" t="str">
            <v>H021</v>
          </cell>
          <cell r="B22" t="e">
            <v>#NAME?</v>
          </cell>
        </row>
        <row r="23">
          <cell r="A23" t="str">
            <v>H022</v>
          </cell>
          <cell r="B23" t="e">
            <v>#NAME?</v>
          </cell>
        </row>
        <row r="24">
          <cell r="A24" t="str">
            <v>H023</v>
          </cell>
          <cell r="B24" t="e">
            <v>#NAME?</v>
          </cell>
        </row>
        <row r="25">
          <cell r="A25" t="str">
            <v>H024</v>
          </cell>
          <cell r="B25" t="e">
            <v>#NAME?</v>
          </cell>
        </row>
        <row r="26">
          <cell r="A26" t="str">
            <v>H025</v>
          </cell>
          <cell r="B26" t="e">
            <v>#NAME?</v>
          </cell>
        </row>
        <row r="27">
          <cell r="A27" t="str">
            <v>H026</v>
          </cell>
          <cell r="B27" t="e">
            <v>#NAME?</v>
          </cell>
        </row>
        <row r="28">
          <cell r="A28" t="str">
            <v>H027</v>
          </cell>
          <cell r="B28" t="e">
            <v>#NAME?</v>
          </cell>
        </row>
        <row r="29">
          <cell r="A29" t="str">
            <v>H028</v>
          </cell>
          <cell r="B29" t="e">
            <v>#NAME?</v>
          </cell>
        </row>
        <row r="30">
          <cell r="A30" t="str">
            <v>H029</v>
          </cell>
          <cell r="B30" t="e">
            <v>#NAME?</v>
          </cell>
        </row>
        <row r="31">
          <cell r="A31" t="str">
            <v>H030</v>
          </cell>
          <cell r="B31" t="e">
            <v>#NAME?</v>
          </cell>
        </row>
        <row r="32">
          <cell r="A32" t="str">
            <v>H031</v>
          </cell>
          <cell r="B32" t="e">
            <v>#NAME?</v>
          </cell>
        </row>
        <row r="33">
          <cell r="A33" t="str">
            <v>H032</v>
          </cell>
          <cell r="B33" t="e">
            <v>#NAME?</v>
          </cell>
        </row>
        <row r="34">
          <cell r="A34" t="str">
            <v>H033</v>
          </cell>
          <cell r="B34" t="e">
            <v>#NAME?</v>
          </cell>
        </row>
        <row r="35">
          <cell r="A35" t="str">
            <v>H034</v>
          </cell>
          <cell r="B35" t="e">
            <v>#NAME?</v>
          </cell>
        </row>
        <row r="36">
          <cell r="A36" t="str">
            <v>H035</v>
          </cell>
          <cell r="B36" t="e">
            <v>#NAME?</v>
          </cell>
        </row>
        <row r="37">
          <cell r="A37" t="str">
            <v>H036</v>
          </cell>
          <cell r="B37" t="e">
            <v>#NAME?</v>
          </cell>
        </row>
        <row r="38">
          <cell r="A38" t="str">
            <v>H037</v>
          </cell>
          <cell r="B38" t="e">
            <v>#NAME?</v>
          </cell>
        </row>
        <row r="39">
          <cell r="A39" t="str">
            <v>H038</v>
          </cell>
          <cell r="B39" t="e">
            <v>#NAME?</v>
          </cell>
        </row>
        <row r="40">
          <cell r="A40" t="str">
            <v>H039</v>
          </cell>
          <cell r="B40" t="e">
            <v>#NAME?</v>
          </cell>
        </row>
        <row r="41">
          <cell r="A41" t="str">
            <v>H040</v>
          </cell>
          <cell r="B41" t="e">
            <v>#NAME?</v>
          </cell>
        </row>
        <row r="42">
          <cell r="A42" t="str">
            <v>H041</v>
          </cell>
          <cell r="B42" t="e">
            <v>#NAME?</v>
          </cell>
        </row>
        <row r="43">
          <cell r="A43" t="str">
            <v>H042</v>
          </cell>
          <cell r="B43" t="e">
            <v>#NAME?</v>
          </cell>
        </row>
        <row r="44">
          <cell r="A44" t="str">
            <v>H043</v>
          </cell>
          <cell r="B44" t="e">
            <v>#NAME?</v>
          </cell>
        </row>
        <row r="45">
          <cell r="A45" t="str">
            <v>H044</v>
          </cell>
          <cell r="B45" t="e">
            <v>#NAME?</v>
          </cell>
        </row>
        <row r="46">
          <cell r="A46" t="str">
            <v>H045</v>
          </cell>
          <cell r="B46" t="e">
            <v>#NAME?</v>
          </cell>
        </row>
        <row r="47">
          <cell r="A47" t="str">
            <v>H046</v>
          </cell>
          <cell r="B47" t="e">
            <v>#NAME?</v>
          </cell>
        </row>
        <row r="48">
          <cell r="A48" t="str">
            <v>H047</v>
          </cell>
          <cell r="B48" t="e">
            <v>#NAME?</v>
          </cell>
        </row>
        <row r="49">
          <cell r="A49" t="str">
            <v>H048</v>
          </cell>
          <cell r="B49" t="e">
            <v>#NAME?</v>
          </cell>
        </row>
        <row r="50">
          <cell r="A50" t="str">
            <v>H049</v>
          </cell>
          <cell r="B50" t="e">
            <v>#NAME?</v>
          </cell>
        </row>
        <row r="51">
          <cell r="A51" t="str">
            <v>H050</v>
          </cell>
          <cell r="B51" t="e">
            <v>#NAME?</v>
          </cell>
        </row>
        <row r="52">
          <cell r="A52" t="str">
            <v>H051</v>
          </cell>
          <cell r="B52" t="e">
            <v>#NAME?</v>
          </cell>
        </row>
        <row r="53">
          <cell r="A53" t="str">
            <v>H052</v>
          </cell>
          <cell r="B53" t="e">
            <v>#NAME?</v>
          </cell>
        </row>
        <row r="54">
          <cell r="A54" t="str">
            <v>H053</v>
          </cell>
          <cell r="B54" t="e">
            <v>#NAME?</v>
          </cell>
        </row>
        <row r="55">
          <cell r="A55" t="str">
            <v>H054</v>
          </cell>
          <cell r="B55" t="e">
            <v>#NAME?</v>
          </cell>
        </row>
        <row r="56">
          <cell r="A56" t="str">
            <v>H055</v>
          </cell>
          <cell r="B56" t="e">
            <v>#NAME?</v>
          </cell>
        </row>
        <row r="57">
          <cell r="A57" t="str">
            <v>H056</v>
          </cell>
          <cell r="B57" t="e">
            <v>#NAME?</v>
          </cell>
        </row>
        <row r="58">
          <cell r="A58" t="str">
            <v>H057</v>
          </cell>
          <cell r="B58" t="e">
            <v>#NAME?</v>
          </cell>
        </row>
        <row r="59">
          <cell r="A59" t="str">
            <v>H058</v>
          </cell>
          <cell r="B59" t="e">
            <v>#NAME?</v>
          </cell>
        </row>
        <row r="60">
          <cell r="A60" t="str">
            <v>H059</v>
          </cell>
          <cell r="B60" t="e">
            <v>#NAME?</v>
          </cell>
        </row>
        <row r="61">
          <cell r="A61" t="str">
            <v>H060</v>
          </cell>
          <cell r="B61" t="e">
            <v>#NAME?</v>
          </cell>
        </row>
        <row r="62">
          <cell r="A62" t="str">
            <v>H061</v>
          </cell>
          <cell r="B62" t="e">
            <v>#NAME?</v>
          </cell>
        </row>
        <row r="63">
          <cell r="A63" t="str">
            <v>H062</v>
          </cell>
          <cell r="B63" t="e">
            <v>#NAME?</v>
          </cell>
        </row>
        <row r="64">
          <cell r="A64" t="str">
            <v>H063</v>
          </cell>
          <cell r="B64" t="e">
            <v>#NAME?</v>
          </cell>
        </row>
        <row r="65">
          <cell r="A65" t="str">
            <v>H064</v>
          </cell>
          <cell r="B65" t="e">
            <v>#NAME?</v>
          </cell>
        </row>
        <row r="66">
          <cell r="A66" t="str">
            <v>H065</v>
          </cell>
          <cell r="B66" t="e">
            <v>#NAME?</v>
          </cell>
        </row>
        <row r="67">
          <cell r="A67" t="str">
            <v>H066</v>
          </cell>
          <cell r="B67" t="e">
            <v>#NAME?</v>
          </cell>
        </row>
        <row r="68">
          <cell r="A68" t="str">
            <v>H067</v>
          </cell>
          <cell r="B68" t="e">
            <v>#NAME?</v>
          </cell>
        </row>
        <row r="69">
          <cell r="A69" t="str">
            <v>H068</v>
          </cell>
          <cell r="B69" t="e">
            <v>#NAME?</v>
          </cell>
        </row>
        <row r="70">
          <cell r="A70" t="str">
            <v>H069</v>
          </cell>
          <cell r="B70" t="e">
            <v>#NAME?</v>
          </cell>
        </row>
        <row r="71">
          <cell r="A71" t="str">
            <v>H070</v>
          </cell>
          <cell r="B71" t="e">
            <v>#NAME?</v>
          </cell>
        </row>
        <row r="72">
          <cell r="A72" t="str">
            <v>H071</v>
          </cell>
          <cell r="B72" t="e">
            <v>#NAME?</v>
          </cell>
        </row>
        <row r="73">
          <cell r="A73" t="str">
            <v>H072</v>
          </cell>
          <cell r="B73" t="e">
            <v>#NAME?</v>
          </cell>
        </row>
        <row r="74">
          <cell r="A74" t="str">
            <v>H073</v>
          </cell>
          <cell r="B74" t="e">
            <v>#NAME?</v>
          </cell>
        </row>
        <row r="75">
          <cell r="A75" t="str">
            <v>H074</v>
          </cell>
          <cell r="B75" t="e">
            <v>#NAME?</v>
          </cell>
        </row>
        <row r="76">
          <cell r="A76" t="str">
            <v>H075</v>
          </cell>
          <cell r="B76" t="e">
            <v>#NAME?</v>
          </cell>
        </row>
        <row r="77">
          <cell r="A77" t="str">
            <v>H076</v>
          </cell>
          <cell r="B77" t="e">
            <v>#NAME?</v>
          </cell>
        </row>
        <row r="78">
          <cell r="A78" t="str">
            <v>H077</v>
          </cell>
          <cell r="B78" t="e">
            <v>#NAME?</v>
          </cell>
        </row>
        <row r="79">
          <cell r="A79" t="str">
            <v>H078</v>
          </cell>
          <cell r="B79" t="e">
            <v>#NAME?</v>
          </cell>
        </row>
        <row r="80">
          <cell r="A80" t="str">
            <v>H079</v>
          </cell>
          <cell r="B80" t="e">
            <v>#NAME?</v>
          </cell>
        </row>
        <row r="81">
          <cell r="A81" t="str">
            <v>H080</v>
          </cell>
          <cell r="B81" t="e">
            <v>#NAME?</v>
          </cell>
        </row>
        <row r="82">
          <cell r="A82" t="str">
            <v>H081</v>
          </cell>
          <cell r="B82" t="e">
            <v>#NAME?</v>
          </cell>
        </row>
        <row r="83">
          <cell r="A83" t="str">
            <v>H082</v>
          </cell>
          <cell r="B83" t="e">
            <v>#NAME?</v>
          </cell>
        </row>
        <row r="84">
          <cell r="A84" t="str">
            <v>H083</v>
          </cell>
          <cell r="B84" t="e">
            <v>#NAME?</v>
          </cell>
        </row>
        <row r="85">
          <cell r="A85" t="str">
            <v>H084</v>
          </cell>
          <cell r="B85" t="e">
            <v>#NAME?</v>
          </cell>
        </row>
        <row r="86">
          <cell r="A86" t="str">
            <v>H085</v>
          </cell>
          <cell r="B86" t="e">
            <v>#NAME?</v>
          </cell>
        </row>
        <row r="87">
          <cell r="A87" t="str">
            <v>H086</v>
          </cell>
          <cell r="B87" t="e">
            <v>#NAME?</v>
          </cell>
        </row>
        <row r="88">
          <cell r="A88" t="str">
            <v>H087</v>
          </cell>
          <cell r="B88" t="e">
            <v>#NAME?</v>
          </cell>
        </row>
        <row r="89">
          <cell r="A89" t="str">
            <v>H088</v>
          </cell>
          <cell r="B89" t="e">
            <v>#NAME?</v>
          </cell>
        </row>
        <row r="90">
          <cell r="A90" t="str">
            <v>H089</v>
          </cell>
          <cell r="B90" t="e">
            <v>#NAME?</v>
          </cell>
        </row>
        <row r="91">
          <cell r="A91" t="str">
            <v>H090</v>
          </cell>
          <cell r="B91" t="e">
            <v>#NAME?</v>
          </cell>
        </row>
        <row r="92">
          <cell r="A92" t="str">
            <v>H091</v>
          </cell>
          <cell r="B92" t="e">
            <v>#NAME?</v>
          </cell>
        </row>
        <row r="93">
          <cell r="A93" t="str">
            <v>H092</v>
          </cell>
          <cell r="B93" t="e">
            <v>#NAME?</v>
          </cell>
        </row>
        <row r="94">
          <cell r="A94" t="str">
            <v>H093</v>
          </cell>
          <cell r="B94" t="e">
            <v>#NAME?</v>
          </cell>
        </row>
        <row r="95">
          <cell r="A95" t="str">
            <v>H094</v>
          </cell>
          <cell r="B95" t="e">
            <v>#NAME?</v>
          </cell>
        </row>
        <row r="96">
          <cell r="A96" t="str">
            <v>H095</v>
          </cell>
          <cell r="B96" t="e">
            <v>#NAME?</v>
          </cell>
        </row>
        <row r="97">
          <cell r="A97" t="str">
            <v>H096</v>
          </cell>
          <cell r="B97" t="e">
            <v>#NAME?</v>
          </cell>
        </row>
        <row r="98">
          <cell r="A98" t="str">
            <v>H097</v>
          </cell>
          <cell r="B98" t="e">
            <v>#NAME?</v>
          </cell>
        </row>
        <row r="99">
          <cell r="A99" t="str">
            <v>H098</v>
          </cell>
          <cell r="B99" t="e">
            <v>#NAME?</v>
          </cell>
        </row>
        <row r="100">
          <cell r="A100" t="str">
            <v>H099</v>
          </cell>
          <cell r="B100" t="e">
            <v>#NAME?</v>
          </cell>
        </row>
        <row r="101">
          <cell r="A101" t="str">
            <v>H100</v>
          </cell>
          <cell r="B101" t="e">
            <v>#NAME?</v>
          </cell>
        </row>
        <row r="102">
          <cell r="A102" t="str">
            <v>H101</v>
          </cell>
          <cell r="B102" t="e">
            <v>#NAME?</v>
          </cell>
        </row>
        <row r="103">
          <cell r="A103" t="str">
            <v>H102</v>
          </cell>
          <cell r="B103" t="e">
            <v>#NAME?</v>
          </cell>
        </row>
        <row r="104">
          <cell r="A104" t="str">
            <v>H103</v>
          </cell>
          <cell r="B104" t="e">
            <v>#NAME?</v>
          </cell>
        </row>
        <row r="105">
          <cell r="A105" t="str">
            <v>H104</v>
          </cell>
        </row>
        <row r="106">
          <cell r="A106" t="str">
            <v>H105</v>
          </cell>
        </row>
        <row r="107">
          <cell r="A107" t="str">
            <v>H106</v>
          </cell>
        </row>
        <row r="108">
          <cell r="A108" t="str">
            <v>H107</v>
          </cell>
        </row>
        <row r="109">
          <cell r="A109" t="str">
            <v>H108</v>
          </cell>
        </row>
        <row r="110">
          <cell r="A110" t="str">
            <v>H109</v>
          </cell>
        </row>
        <row r="111">
          <cell r="A111" t="str">
            <v>H110</v>
          </cell>
        </row>
        <row r="112">
          <cell r="A112" t="str">
            <v>H111</v>
          </cell>
        </row>
        <row r="113">
          <cell r="A113" t="str">
            <v>H112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232A5-3811-4CED-A6E3-0101484C1899}" name="Table_2" displayName="Table_2" ref="A2:Y236">
  <tableColumns count="25">
    <tableColumn id="1" xr3:uid="{76A3CE0C-9B0F-443C-8EEC-F29CE145D60B}" name="Date"/>
    <tableColumn id="2" xr3:uid="{247D1A1E-3376-436F-8673-3E5D2AE24B85}" name="AccountID"/>
    <tableColumn id="3" xr3:uid="{D89A5F62-C09E-480F-A358-16C92F84AEB8}" name="BookingNo"/>
    <tableColumn id="4" xr3:uid="{2DEC8953-1E2F-4D33-A532-0B5CADC9E3C0}" name="PIN"/>
    <tableColumn id="5" xr3:uid="{6EAFCB1B-9FD9-459B-B956-8BAAEC3653C5}" name="HotelID"/>
    <tableColumn id="6" xr3:uid="{A7363DA1-D0EF-48AE-A6A5-42665B0302EE}" name="HotelName"/>
    <tableColumn id="7" xr3:uid="{70C270D4-5137-4344-97EC-529F9174CE96}" name="Cost"/>
    <tableColumn id="8" xr3:uid="{E4EF4589-E79C-42C4-8A86-B6883B4C4A1F}" name="CheckIn"/>
    <tableColumn id="9" xr3:uid="{D091EAB6-4B2D-4A31-BA1F-2E8F423C4782}" name="CheckOut"/>
    <tableColumn id="10" xr3:uid="{C972ECB0-7504-4509-AB4B-139E545E3914}" name="PromoCode"/>
    <tableColumn id="11" xr3:uid="{7ECF970F-2F57-43C7-AE58-ED04422712F3}" name="Status"/>
    <tableColumn id="12" xr3:uid="{ACEC9BCE-415D-4965-A6DF-B3245A82BECC}" name="Level"/>
    <tableColumn id="13" xr3:uid="{231325A8-AD44-4246-A3AC-BD85132A1A1D}" name="Asign to"/>
    <tableColumn id="14" xr3:uid="{7A7DC1D5-ACC2-4C1D-B6B2-3852B102638B}" name="Reward paid on"/>
    <tableColumn id="15" xr3:uid="{4AC07490-D611-41FD-8B7B-D24555023A68}" name="Days Left"/>
    <tableColumn id="16" xr3:uid="{DC75167C-BF19-47FC-A48E-BE693294115C}" name="Линк"/>
    <tableColumn id="17" xr3:uid="{09073EAB-4347-4123-B336-C6A3ABED62A5}" name="auto_status"/>
    <tableColumn id="18" xr3:uid="{01762526-87FA-4E7A-9137-C6CE69A09965}" name="auto_hotel"/>
    <tableColumn id="19" xr3:uid="{A44C95C4-3A3D-4D0C-9252-ED76B1A414D3}" name="auto_check_in"/>
    <tableColumn id="20" xr3:uid="{2C6A6C3E-AB7D-46D8-A333-69C3BF3D01B8}" name="auto_check_out"/>
    <tableColumn id="21" xr3:uid="{B14514EE-A900-40DC-B243-2AEC6A01189F}" name="auto_reward"/>
    <tableColumn id="22" xr3:uid="{2E6E5FB0-D003-4305-94A3-4637C47BF16E}" name="auto_loyal"/>
    <tableColumn id="23" xr3:uid="{A87A8E77-BD85-430B-94B3-702551698C13}" name="last_check"/>
    <tableColumn id="24" xr3:uid="{929B1289-E933-450E-BB9E-7A8F20563966}" name="auto_confirm"/>
    <tableColumn id="25" xr3:uid="{2DE99435-894C-4E91-AEBE-5B61092B405C}" name="auto_pin"/>
  </tableColumns>
  <tableStyleInfo name="Booking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usjzbqi674@gmx.us" TargetMode="External"/><Relationship Id="rId21" Type="http://schemas.openxmlformats.org/officeDocument/2006/relationships/hyperlink" Target="mailto:souzaisiah1999@gmx.com" TargetMode="External"/><Relationship Id="rId34" Type="http://schemas.openxmlformats.org/officeDocument/2006/relationships/hyperlink" Target="mailto:velasquezmelinda1986@gmx.com" TargetMode="External"/><Relationship Id="rId42" Type="http://schemas.openxmlformats.org/officeDocument/2006/relationships/hyperlink" Target="mailto:ivybrad1994@gmx.com" TargetMode="External"/><Relationship Id="rId47" Type="http://schemas.openxmlformats.org/officeDocument/2006/relationships/hyperlink" Target="mailto:gfcktl5473@gmx.us" TargetMode="External"/><Relationship Id="rId50" Type="http://schemas.openxmlformats.org/officeDocument/2006/relationships/hyperlink" Target="mailto:anthony-alerfoag@gmx.com" TargetMode="External"/><Relationship Id="rId55" Type="http://schemas.openxmlformats.org/officeDocument/2006/relationships/hyperlink" Target="mailto:prince.toffologxej@gmx.com" TargetMode="External"/><Relationship Id="rId63" Type="http://schemas.openxmlformats.org/officeDocument/2006/relationships/hyperlink" Target="mailto:rywfhwtugw731@gmx.com" TargetMode="External"/><Relationship Id="rId7" Type="http://schemas.openxmlformats.org/officeDocument/2006/relationships/hyperlink" Target="mailto:kelvinfelkins@post.com" TargetMode="External"/><Relationship Id="rId2" Type="http://schemas.openxmlformats.org/officeDocument/2006/relationships/hyperlink" Target="mailto:ewirazbk7@gmx.com" TargetMode="External"/><Relationship Id="rId16" Type="http://schemas.openxmlformats.org/officeDocument/2006/relationships/hyperlink" Target="mailto:zioegjvf16@gmx.com" TargetMode="External"/><Relationship Id="rId29" Type="http://schemas.openxmlformats.org/officeDocument/2006/relationships/hyperlink" Target="mailto:yjsmwrpuho6@gmx.us" TargetMode="External"/><Relationship Id="rId11" Type="http://schemas.openxmlformats.org/officeDocument/2006/relationships/hyperlink" Target="mailto:gnhggumzb5616@gmx.com" TargetMode="External"/><Relationship Id="rId24" Type="http://schemas.openxmlformats.org/officeDocument/2006/relationships/hyperlink" Target="mailto:cttotwbbp9@gmx.com" TargetMode="External"/><Relationship Id="rId32" Type="http://schemas.openxmlformats.org/officeDocument/2006/relationships/hyperlink" Target="mailto:burnsmarie1980@gmx.com" TargetMode="External"/><Relationship Id="rId37" Type="http://schemas.openxmlformats.org/officeDocument/2006/relationships/hyperlink" Target="mailto:ofxbdestw5@gmx.com" TargetMode="External"/><Relationship Id="rId40" Type="http://schemas.openxmlformats.org/officeDocument/2006/relationships/hyperlink" Target="mailto:kelvinfelkins@post.com" TargetMode="External"/><Relationship Id="rId45" Type="http://schemas.openxmlformats.org/officeDocument/2006/relationships/hyperlink" Target="mailto:mitchellrenee1980@gmx.com" TargetMode="External"/><Relationship Id="rId53" Type="http://schemas.openxmlformats.org/officeDocument/2006/relationships/hyperlink" Target="mailto:benito-chippyutv@gmx.com" TargetMode="External"/><Relationship Id="rId58" Type="http://schemas.openxmlformats.org/officeDocument/2006/relationships/hyperlink" Target="mailto:tod.savaresewtpb@gmx.com" TargetMode="External"/><Relationship Id="rId66" Type="http://schemas.openxmlformats.org/officeDocument/2006/relationships/hyperlink" Target="mailto:hywbfmeumm@gmx.us" TargetMode="External"/><Relationship Id="rId5" Type="http://schemas.openxmlformats.org/officeDocument/2006/relationships/hyperlink" Target="mailto:kfwfkupcc@gmx.com" TargetMode="External"/><Relationship Id="rId61" Type="http://schemas.openxmlformats.org/officeDocument/2006/relationships/hyperlink" Target="mailto:lessogograxu256@mail.com" TargetMode="External"/><Relationship Id="rId19" Type="http://schemas.openxmlformats.org/officeDocument/2006/relationships/hyperlink" Target="mailto:uvkujcr14@gmx.com" TargetMode="External"/><Relationship Id="rId14" Type="http://schemas.openxmlformats.org/officeDocument/2006/relationships/hyperlink" Target="mailto:wzvaac8423@gmx.us" TargetMode="External"/><Relationship Id="rId22" Type="http://schemas.openxmlformats.org/officeDocument/2006/relationships/hyperlink" Target="mailto:mitchellrenee1980@gmx.com" TargetMode="External"/><Relationship Id="rId27" Type="http://schemas.openxmlformats.org/officeDocument/2006/relationships/hyperlink" Target="mailto:naahjrcqfyi@gmx.us" TargetMode="External"/><Relationship Id="rId30" Type="http://schemas.openxmlformats.org/officeDocument/2006/relationships/hyperlink" Target="mailto:pbujtnalaobt8@gmx.us" TargetMode="External"/><Relationship Id="rId35" Type="http://schemas.openxmlformats.org/officeDocument/2006/relationships/hyperlink" Target="mailto:emqajoekc@gmx.com" TargetMode="External"/><Relationship Id="rId43" Type="http://schemas.openxmlformats.org/officeDocument/2006/relationships/hyperlink" Target="mailto:pbujtnalaobt8@gmx.us" TargetMode="External"/><Relationship Id="rId48" Type="http://schemas.openxmlformats.org/officeDocument/2006/relationships/hyperlink" Target="mailto:yqbfnk776@gmx.us" TargetMode="External"/><Relationship Id="rId56" Type="http://schemas.openxmlformats.org/officeDocument/2006/relationships/hyperlink" Target="mailto:kerry.noallqdd@gmx.com" TargetMode="External"/><Relationship Id="rId64" Type="http://schemas.openxmlformats.org/officeDocument/2006/relationships/hyperlink" Target="mailto:phnahih0844@gmx.com" TargetMode="External"/><Relationship Id="rId8" Type="http://schemas.openxmlformats.org/officeDocument/2006/relationships/hyperlink" Target="mailto:lessogograxu256@mail.com" TargetMode="External"/><Relationship Id="rId51" Type="http://schemas.openxmlformats.org/officeDocument/2006/relationships/hyperlink" Target="mailto:beau.kraimervktg@gmx.com" TargetMode="External"/><Relationship Id="rId3" Type="http://schemas.openxmlformats.org/officeDocument/2006/relationships/hyperlink" Target="mailto:dsmjp9816@gmx.com" TargetMode="External"/><Relationship Id="rId12" Type="http://schemas.openxmlformats.org/officeDocument/2006/relationships/hyperlink" Target="mailto:ejzmdjbobjyqr@gmx.com" TargetMode="External"/><Relationship Id="rId17" Type="http://schemas.openxmlformats.org/officeDocument/2006/relationships/hyperlink" Target="mailto:nxkfhwc83@gmx.com" TargetMode="External"/><Relationship Id="rId25" Type="http://schemas.openxmlformats.org/officeDocument/2006/relationships/hyperlink" Target="mailto:bshwtcuy7@gmx.us" TargetMode="External"/><Relationship Id="rId33" Type="http://schemas.openxmlformats.org/officeDocument/2006/relationships/hyperlink" Target="mailto:cdaamsyzjde3@gmx.com" TargetMode="External"/><Relationship Id="rId38" Type="http://schemas.openxmlformats.org/officeDocument/2006/relationships/hyperlink" Target="mailto:yjsmwrpuho6@gmx.us" TargetMode="External"/><Relationship Id="rId46" Type="http://schemas.openxmlformats.org/officeDocument/2006/relationships/hyperlink" Target="mailto:souzaisiah1999@gmx.com" TargetMode="External"/><Relationship Id="rId59" Type="http://schemas.openxmlformats.org/officeDocument/2006/relationships/hyperlink" Target="mailto:qjrusshiklhk@gmx.com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mailto:xqspun215@gmx.com" TargetMode="External"/><Relationship Id="rId41" Type="http://schemas.openxmlformats.org/officeDocument/2006/relationships/hyperlink" Target="mailto:fretoutrifoppeu-5387@mail.com" TargetMode="External"/><Relationship Id="rId54" Type="http://schemas.openxmlformats.org/officeDocument/2006/relationships/hyperlink" Target="mailto:eddy.hlavenkacrlz@gmx.com" TargetMode="External"/><Relationship Id="rId62" Type="http://schemas.openxmlformats.org/officeDocument/2006/relationships/hyperlink" Target="mailto:ehmrjatg22@gmx.com" TargetMode="External"/><Relationship Id="rId1" Type="http://schemas.openxmlformats.org/officeDocument/2006/relationships/hyperlink" Target="mailto:dposixlyn214@gmx.com" TargetMode="External"/><Relationship Id="rId6" Type="http://schemas.openxmlformats.org/officeDocument/2006/relationships/hyperlink" Target="mailto:bmbepnag37@gmx.us" TargetMode="External"/><Relationship Id="rId15" Type="http://schemas.openxmlformats.org/officeDocument/2006/relationships/hyperlink" Target="mailto:zhunphmwga72@gmx.com" TargetMode="External"/><Relationship Id="rId23" Type="http://schemas.openxmlformats.org/officeDocument/2006/relationships/hyperlink" Target="mailto:ivybrad1994@gmx.com" TargetMode="External"/><Relationship Id="rId28" Type="http://schemas.openxmlformats.org/officeDocument/2006/relationships/hyperlink" Target="mailto:yrzbtr6804@gmx.com" TargetMode="External"/><Relationship Id="rId36" Type="http://schemas.openxmlformats.org/officeDocument/2006/relationships/hyperlink" Target="mailto:zspsmweem327@gmx.com" TargetMode="External"/><Relationship Id="rId49" Type="http://schemas.openxmlformats.org/officeDocument/2006/relationships/hyperlink" Target="mailto:juan-arzaqxm@gmx.com" TargetMode="External"/><Relationship Id="rId57" Type="http://schemas.openxmlformats.org/officeDocument/2006/relationships/hyperlink" Target="mailto:oren-morcigliolvbm@gmx.com" TargetMode="External"/><Relationship Id="rId10" Type="http://schemas.openxmlformats.org/officeDocument/2006/relationships/hyperlink" Target="mailto:carmchwgi298@gmx.com" TargetMode="External"/><Relationship Id="rId31" Type="http://schemas.openxmlformats.org/officeDocument/2006/relationships/hyperlink" Target="mailto:zphhkhdghgw@gmx.com" TargetMode="External"/><Relationship Id="rId44" Type="http://schemas.openxmlformats.org/officeDocument/2006/relationships/hyperlink" Target="mailto:nukoxuti1973@gmx.us" TargetMode="External"/><Relationship Id="rId52" Type="http://schemas.openxmlformats.org/officeDocument/2006/relationships/hyperlink" Target="mailto:raleigh_macarivgh@gmx.com" TargetMode="External"/><Relationship Id="rId60" Type="http://schemas.openxmlformats.org/officeDocument/2006/relationships/hyperlink" Target="mailto:gfcktl5473@gmx.us" TargetMode="External"/><Relationship Id="rId65" Type="http://schemas.openxmlformats.org/officeDocument/2006/relationships/hyperlink" Target="mailto:qfcypbemv831@gmx.us" TargetMode="External"/><Relationship Id="rId4" Type="http://schemas.openxmlformats.org/officeDocument/2006/relationships/hyperlink" Target="mailto:pydfejw955@gmx.com" TargetMode="External"/><Relationship Id="rId9" Type="http://schemas.openxmlformats.org/officeDocument/2006/relationships/hyperlink" Target="mailto:ptvskoeod157@gmx.us" TargetMode="External"/><Relationship Id="rId13" Type="http://schemas.openxmlformats.org/officeDocument/2006/relationships/hyperlink" Target="mailto:aidenr6moore@gmx.com" TargetMode="External"/><Relationship Id="rId18" Type="http://schemas.openxmlformats.org/officeDocument/2006/relationships/hyperlink" Target="mailto:jauuvxrto2061@gmx.com" TargetMode="External"/><Relationship Id="rId39" Type="http://schemas.openxmlformats.org/officeDocument/2006/relationships/hyperlink" Target="mailto:roeexaay2479@gm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A320-0ED7-4028-A4FB-9D544A1D29AB}">
  <dimension ref="A1:AA960"/>
  <sheetViews>
    <sheetView tabSelected="1" workbookViewId="0">
      <pane ySplit="2" topLeftCell="A14" activePane="bottomLeft" state="frozen"/>
      <selection pane="bottomLeft" activeCell="B15" sqref="B15"/>
    </sheetView>
  </sheetViews>
  <sheetFormatPr defaultColWidth="14.42578125" defaultRowHeight="15" customHeight="1" x14ac:dyDescent="0.25"/>
  <cols>
    <col min="1" max="1" width="14.140625" customWidth="1"/>
    <col min="2" max="2" width="24.85546875" customWidth="1"/>
    <col min="3" max="3" width="15" customWidth="1"/>
    <col min="4" max="4" width="10.28515625" customWidth="1"/>
    <col min="5" max="5" width="6.7109375" customWidth="1"/>
    <col min="6" max="6" width="12.42578125" customWidth="1"/>
    <col min="7" max="7" width="8.5703125" customWidth="1"/>
    <col min="8" max="8" width="10.42578125" bestFit="1" customWidth="1"/>
    <col min="9" max="9" width="7.7109375" customWidth="1"/>
    <col min="10" max="10" width="15.28515625" customWidth="1"/>
    <col min="11" max="11" width="20.5703125" customWidth="1"/>
    <col min="12" max="12" width="12.7109375" customWidth="1"/>
    <col min="13" max="13" width="4.42578125" customWidth="1"/>
    <col min="14" max="14" width="10.140625" customWidth="1"/>
    <col min="15" max="15" width="20.7109375" customWidth="1"/>
    <col min="16" max="16" width="21.7109375" customWidth="1"/>
    <col min="17" max="17" width="13.28515625" customWidth="1"/>
    <col min="18" max="18" width="22.28515625" customWidth="1"/>
    <col min="19" max="19" width="8.5703125" customWidth="1"/>
    <col min="20" max="20" width="19.5703125" customWidth="1"/>
    <col min="21" max="27" width="8.7109375" customWidth="1"/>
  </cols>
  <sheetData>
    <row r="1" spans="1:27" ht="70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</row>
    <row r="2" spans="1:27" ht="39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6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5"/>
      <c r="AA2" s="5"/>
    </row>
    <row r="3" spans="1:27" ht="22.5" customHeight="1" x14ac:dyDescent="0.25">
      <c r="A3" s="8">
        <v>45912</v>
      </c>
      <c r="B3" s="9" t="s">
        <v>26</v>
      </c>
      <c r="C3" s="10">
        <v>6409175310</v>
      </c>
      <c r="D3" s="10">
        <v>835</v>
      </c>
      <c r="E3" s="3" t="s">
        <v>27</v>
      </c>
      <c r="F3" s="9" t="s">
        <v>28</v>
      </c>
      <c r="G3" s="11"/>
      <c r="H3" s="12">
        <v>45869</v>
      </c>
      <c r="I3" s="12">
        <v>45870</v>
      </c>
      <c r="J3" s="11">
        <v>110</v>
      </c>
      <c r="K3" s="3" t="s">
        <v>29</v>
      </c>
      <c r="L3" s="3" t="s">
        <v>30</v>
      </c>
      <c r="M3" s="9"/>
      <c r="N3" s="12">
        <f t="shared" ref="N3:N112" si="0">I3+14</f>
        <v>45884</v>
      </c>
      <c r="O3" s="9">
        <f t="shared" ref="O3:O189" ca="1" si="1">N3 - TODAY()</f>
        <v>-131</v>
      </c>
      <c r="P3" s="13" t="str">
        <f t="shared" ref="P3:P189" si="2">CONCATENATE("https://secure.booking.com/confirmation.html?bn=",C3,"&amp;hc_origin=search&amp;pincode=",D3,"&amp;source=help_center")</f>
        <v>https://secure.booking.com/confirmation.html?bn=6409175310&amp;hc_origin=search&amp;pincode=835&amp;source=help_center</v>
      </c>
      <c r="Q3" s="9" t="s">
        <v>31</v>
      </c>
      <c r="R3" s="9"/>
      <c r="S3" s="9"/>
      <c r="T3" s="9"/>
      <c r="U3" s="9"/>
      <c r="V3" s="9"/>
      <c r="W3" s="9" t="s">
        <v>32</v>
      </c>
      <c r="X3" s="9"/>
      <c r="Y3" s="9"/>
      <c r="Z3" s="3"/>
      <c r="AA3" s="3"/>
    </row>
    <row r="4" spans="1:27" ht="22.5" customHeight="1" x14ac:dyDescent="0.25">
      <c r="A4" s="8">
        <f t="shared" ref="A4:A6" si="3">I3</f>
        <v>45870</v>
      </c>
      <c r="B4" s="9" t="s">
        <v>33</v>
      </c>
      <c r="C4" s="10">
        <v>6362418883</v>
      </c>
      <c r="D4" s="10">
        <v>7149</v>
      </c>
      <c r="E4" s="3" t="s">
        <v>34</v>
      </c>
      <c r="F4" s="9" t="s">
        <v>35</v>
      </c>
      <c r="G4" s="11"/>
      <c r="H4" s="12">
        <v>45884</v>
      </c>
      <c r="I4" s="12">
        <v>45885</v>
      </c>
      <c r="J4" s="11"/>
      <c r="K4" s="3" t="s">
        <v>36</v>
      </c>
      <c r="L4" s="3"/>
      <c r="M4" s="9"/>
      <c r="N4" s="12">
        <f t="shared" si="0"/>
        <v>45899</v>
      </c>
      <c r="O4" s="9">
        <f t="shared" ca="1" si="1"/>
        <v>-116</v>
      </c>
      <c r="P4" s="13" t="str">
        <f t="shared" si="2"/>
        <v>https://secure.booking.com/confirmation.html?bn=6362418883&amp;hc_origin=search&amp;pincode=7149&amp;source=help_center</v>
      </c>
      <c r="Q4" s="9" t="s">
        <v>31</v>
      </c>
      <c r="R4" s="9"/>
      <c r="S4" s="9"/>
      <c r="T4" s="9"/>
      <c r="U4" s="9"/>
      <c r="V4" s="9"/>
      <c r="W4" s="9" t="s">
        <v>32</v>
      </c>
      <c r="X4" s="9"/>
      <c r="Y4" s="9"/>
      <c r="Z4" s="3"/>
      <c r="AA4" s="3"/>
    </row>
    <row r="5" spans="1:27" ht="22.5" customHeight="1" x14ac:dyDescent="0.25">
      <c r="A5" s="8">
        <f t="shared" si="3"/>
        <v>45885</v>
      </c>
      <c r="B5" s="9" t="s">
        <v>37</v>
      </c>
      <c r="C5" s="10">
        <v>6090060157</v>
      </c>
      <c r="D5" s="10">
        <v>180</v>
      </c>
      <c r="E5" s="3" t="s">
        <v>38</v>
      </c>
      <c r="F5" s="9" t="s">
        <v>39</v>
      </c>
      <c r="G5" s="11"/>
      <c r="H5" s="12">
        <v>45884</v>
      </c>
      <c r="I5" s="12">
        <v>45885</v>
      </c>
      <c r="J5" s="11"/>
      <c r="K5" s="3" t="s">
        <v>36</v>
      </c>
      <c r="L5" s="3"/>
      <c r="M5" s="9"/>
      <c r="N5" s="12">
        <f t="shared" si="0"/>
        <v>45899</v>
      </c>
      <c r="O5" s="9">
        <f t="shared" ca="1" si="1"/>
        <v>-116</v>
      </c>
      <c r="P5" s="13" t="str">
        <f t="shared" si="2"/>
        <v>https://secure.booking.com/confirmation.html?bn=6090060157&amp;hc_origin=search&amp;pincode=180&amp;source=help_center</v>
      </c>
      <c r="Q5" s="9" t="s">
        <v>31</v>
      </c>
      <c r="R5" s="9"/>
      <c r="S5" s="9"/>
      <c r="T5" s="9"/>
      <c r="U5" s="9"/>
      <c r="V5" s="9"/>
      <c r="W5" s="9" t="s">
        <v>32</v>
      </c>
      <c r="X5" s="9"/>
      <c r="Y5" s="9"/>
      <c r="Z5" s="3"/>
      <c r="AA5" s="3"/>
    </row>
    <row r="6" spans="1:27" ht="22.5" customHeight="1" x14ac:dyDescent="0.25">
      <c r="A6" s="8">
        <f t="shared" si="3"/>
        <v>45885</v>
      </c>
      <c r="B6" s="9" t="s">
        <v>40</v>
      </c>
      <c r="C6" s="10">
        <v>5791056078</v>
      </c>
      <c r="D6" s="10">
        <v>7207</v>
      </c>
      <c r="E6" s="3" t="s">
        <v>41</v>
      </c>
      <c r="F6" s="9" t="s">
        <v>42</v>
      </c>
      <c r="G6" s="11"/>
      <c r="H6" s="12">
        <v>45883</v>
      </c>
      <c r="I6" s="12">
        <v>45885</v>
      </c>
      <c r="J6" s="11"/>
      <c r="K6" s="3" t="s">
        <v>29</v>
      </c>
      <c r="L6" s="3"/>
      <c r="M6" s="9"/>
      <c r="N6" s="12">
        <f t="shared" si="0"/>
        <v>45899</v>
      </c>
      <c r="O6" s="9">
        <f t="shared" ca="1" si="1"/>
        <v>-116</v>
      </c>
      <c r="P6" s="13" t="str">
        <f t="shared" si="2"/>
        <v>https://secure.booking.com/confirmation.html?bn=5791056078&amp;hc_origin=search&amp;pincode=7207&amp;source=help_center</v>
      </c>
      <c r="Q6" s="9" t="s">
        <v>31</v>
      </c>
      <c r="R6" s="9"/>
      <c r="S6" s="9"/>
      <c r="T6" s="9"/>
      <c r="U6" s="9"/>
      <c r="V6" s="9"/>
      <c r="W6" s="9" t="s">
        <v>32</v>
      </c>
      <c r="X6" s="9"/>
      <c r="Y6" s="9"/>
      <c r="Z6" s="3"/>
      <c r="AA6" s="3"/>
    </row>
    <row r="7" spans="1:27" ht="22.5" hidden="1" customHeight="1" x14ac:dyDescent="0.25">
      <c r="A7" s="8">
        <v>45948</v>
      </c>
      <c r="B7" s="3" t="s">
        <v>43</v>
      </c>
      <c r="C7" s="10" t="s">
        <v>44</v>
      </c>
      <c r="D7" s="10" t="s">
        <v>45</v>
      </c>
      <c r="E7" s="3" t="s">
        <v>46</v>
      </c>
      <c r="F7" s="3" t="s">
        <v>47</v>
      </c>
      <c r="G7" s="14"/>
      <c r="H7" s="8">
        <v>46005</v>
      </c>
      <c r="I7" s="8">
        <v>46006</v>
      </c>
      <c r="J7" s="14">
        <v>25.31</v>
      </c>
      <c r="K7" s="3" t="s">
        <v>48</v>
      </c>
      <c r="L7" s="3"/>
      <c r="M7" s="3"/>
      <c r="N7" s="12">
        <f t="shared" si="0"/>
        <v>46020</v>
      </c>
      <c r="O7" s="9">
        <f t="shared" ca="1" si="1"/>
        <v>5</v>
      </c>
      <c r="P7" s="13" t="str">
        <f t="shared" si="2"/>
        <v>https://secure.booking.com/confirmation.html?bn=6847393032&amp;hc_origin=search&amp;pincode=7624&amp;source=help_center</v>
      </c>
      <c r="Q7" s="9" t="s">
        <v>49</v>
      </c>
      <c r="R7" s="9" t="s">
        <v>47</v>
      </c>
      <c r="S7" s="9" t="s">
        <v>50</v>
      </c>
      <c r="T7" s="9" t="s">
        <v>51</v>
      </c>
      <c r="U7" s="9" t="s">
        <v>52</v>
      </c>
      <c r="V7" s="9"/>
      <c r="W7" s="9" t="s">
        <v>32</v>
      </c>
      <c r="X7" s="9" t="s">
        <v>44</v>
      </c>
      <c r="Y7" s="9" t="s">
        <v>45</v>
      </c>
      <c r="Z7" s="3"/>
      <c r="AA7" s="3"/>
    </row>
    <row r="8" spans="1:27" ht="22.5" customHeight="1" x14ac:dyDescent="0.25">
      <c r="A8" s="8">
        <f t="shared" ref="A8:A22" si="4">I7</f>
        <v>46006</v>
      </c>
      <c r="B8" s="9" t="s">
        <v>53</v>
      </c>
      <c r="C8" s="10">
        <v>6362456497</v>
      </c>
      <c r="D8" s="10">
        <v>891</v>
      </c>
      <c r="E8" s="3" t="s">
        <v>54</v>
      </c>
      <c r="F8" s="9" t="s">
        <v>55</v>
      </c>
      <c r="G8" s="11"/>
      <c r="H8" s="12">
        <v>45884</v>
      </c>
      <c r="I8" s="12">
        <v>45886</v>
      </c>
      <c r="J8" s="11"/>
      <c r="K8" s="3" t="s">
        <v>36</v>
      </c>
      <c r="L8" s="3"/>
      <c r="M8" s="9"/>
      <c r="N8" s="12">
        <f t="shared" si="0"/>
        <v>45900</v>
      </c>
      <c r="O8" s="9">
        <f t="shared" ca="1" si="1"/>
        <v>-115</v>
      </c>
      <c r="P8" s="13" t="str">
        <f t="shared" si="2"/>
        <v>https://secure.booking.com/confirmation.html?bn=6362456497&amp;hc_origin=search&amp;pincode=891&amp;source=help_center</v>
      </c>
      <c r="Q8" s="9" t="s">
        <v>31</v>
      </c>
      <c r="R8" s="9"/>
      <c r="S8" s="9"/>
      <c r="T8" s="9"/>
      <c r="U8" s="9"/>
      <c r="V8" s="9"/>
      <c r="W8" s="9" t="s">
        <v>32</v>
      </c>
      <c r="X8" s="9"/>
      <c r="Y8" s="9"/>
      <c r="Z8" s="3"/>
      <c r="AA8" s="3"/>
    </row>
    <row r="9" spans="1:27" ht="22.5" customHeight="1" x14ac:dyDescent="0.25">
      <c r="A9" s="8">
        <f t="shared" si="4"/>
        <v>45886</v>
      </c>
      <c r="B9" s="9" t="s">
        <v>56</v>
      </c>
      <c r="C9" s="10">
        <v>5251911491</v>
      </c>
      <c r="D9" s="10">
        <v>3511</v>
      </c>
      <c r="E9" s="3" t="s">
        <v>57</v>
      </c>
      <c r="F9" s="9" t="s">
        <v>58</v>
      </c>
      <c r="G9" s="11"/>
      <c r="H9" s="12">
        <v>45885</v>
      </c>
      <c r="I9" s="12">
        <v>45887</v>
      </c>
      <c r="J9" s="11">
        <v>130</v>
      </c>
      <c r="K9" s="3" t="s">
        <v>29</v>
      </c>
      <c r="L9" s="3"/>
      <c r="M9" s="9"/>
      <c r="N9" s="12">
        <f t="shared" si="0"/>
        <v>45901</v>
      </c>
      <c r="O9" s="9">
        <f t="shared" ca="1" si="1"/>
        <v>-114</v>
      </c>
      <c r="P9" s="13" t="str">
        <f t="shared" si="2"/>
        <v>https://secure.booking.com/confirmation.html?bn=5251911491&amp;hc_origin=search&amp;pincode=3511&amp;source=help_center</v>
      </c>
      <c r="Q9" s="9" t="s">
        <v>31</v>
      </c>
      <c r="R9" s="9"/>
      <c r="S9" s="9"/>
      <c r="T9" s="9"/>
      <c r="U9" s="9"/>
      <c r="V9" s="9"/>
      <c r="W9" s="9" t="s">
        <v>32</v>
      </c>
      <c r="X9" s="9"/>
      <c r="Y9" s="9"/>
      <c r="Z9" s="3"/>
      <c r="AA9" s="3"/>
    </row>
    <row r="10" spans="1:27" ht="22.5" customHeight="1" x14ac:dyDescent="0.25">
      <c r="A10" s="8">
        <f t="shared" si="4"/>
        <v>45887</v>
      </c>
      <c r="B10" s="9" t="s">
        <v>59</v>
      </c>
      <c r="C10" s="10">
        <v>5156266555</v>
      </c>
      <c r="D10" s="10">
        <v>5269</v>
      </c>
      <c r="E10" s="3" t="s">
        <v>60</v>
      </c>
      <c r="F10" s="9" t="s">
        <v>61</v>
      </c>
      <c r="G10" s="11"/>
      <c r="H10" s="12">
        <v>45885</v>
      </c>
      <c r="I10" s="12">
        <v>45888</v>
      </c>
      <c r="J10" s="11">
        <v>0</v>
      </c>
      <c r="K10" s="3" t="s">
        <v>36</v>
      </c>
      <c r="L10" s="3"/>
      <c r="M10" s="9"/>
      <c r="N10" s="12">
        <f t="shared" si="0"/>
        <v>45902</v>
      </c>
      <c r="O10" s="9">
        <f t="shared" ca="1" si="1"/>
        <v>-113</v>
      </c>
      <c r="P10" s="13" t="str">
        <f t="shared" si="2"/>
        <v>https://secure.booking.com/confirmation.html?bn=5156266555&amp;hc_origin=search&amp;pincode=5269&amp;source=help_center</v>
      </c>
      <c r="Q10" s="9" t="s">
        <v>31</v>
      </c>
      <c r="R10" s="9"/>
      <c r="S10" s="9"/>
      <c r="T10" s="9"/>
      <c r="U10" s="9"/>
      <c r="V10" s="9"/>
      <c r="W10" s="9" t="s">
        <v>32</v>
      </c>
      <c r="X10" s="9"/>
      <c r="Y10" s="9"/>
      <c r="Z10" s="3"/>
      <c r="AA10" s="3"/>
    </row>
    <row r="11" spans="1:27" ht="22.5" customHeight="1" x14ac:dyDescent="0.25">
      <c r="A11" s="8">
        <f t="shared" si="4"/>
        <v>45888</v>
      </c>
      <c r="B11" s="9" t="s">
        <v>62</v>
      </c>
      <c r="C11" s="10">
        <v>6655069124</v>
      </c>
      <c r="D11" s="10">
        <v>8260</v>
      </c>
      <c r="E11" s="3" t="s">
        <v>63</v>
      </c>
      <c r="F11" s="9" t="s">
        <v>64</v>
      </c>
      <c r="G11" s="11"/>
      <c r="H11" s="12">
        <v>45885</v>
      </c>
      <c r="I11" s="12">
        <v>45888</v>
      </c>
      <c r="J11" s="11">
        <v>100</v>
      </c>
      <c r="K11" s="3" t="s">
        <v>29</v>
      </c>
      <c r="L11" s="3"/>
      <c r="M11" s="9"/>
      <c r="N11" s="12">
        <f t="shared" si="0"/>
        <v>45902</v>
      </c>
      <c r="O11" s="9">
        <f t="shared" ca="1" si="1"/>
        <v>-113</v>
      </c>
      <c r="P11" s="13" t="str">
        <f t="shared" si="2"/>
        <v>https://secure.booking.com/confirmation.html?bn=6655069124&amp;hc_origin=search&amp;pincode=8260&amp;source=help_center</v>
      </c>
      <c r="Q11" s="9" t="s">
        <v>31</v>
      </c>
      <c r="R11" s="9"/>
      <c r="S11" s="9"/>
      <c r="T11" s="9"/>
      <c r="U11" s="9"/>
      <c r="V11" s="9"/>
      <c r="W11" s="9" t="s">
        <v>32</v>
      </c>
      <c r="X11" s="9"/>
      <c r="Y11" s="9"/>
      <c r="Z11" s="3"/>
      <c r="AA11" s="3"/>
    </row>
    <row r="12" spans="1:27" ht="22.5" customHeight="1" x14ac:dyDescent="0.25">
      <c r="A12" s="8">
        <f t="shared" si="4"/>
        <v>45888</v>
      </c>
      <c r="B12" s="9" t="s">
        <v>65</v>
      </c>
      <c r="C12" s="10">
        <v>5809063219</v>
      </c>
      <c r="D12" s="10">
        <v>2633</v>
      </c>
      <c r="E12" s="3" t="s">
        <v>66</v>
      </c>
      <c r="F12" s="9" t="s">
        <v>67</v>
      </c>
      <c r="G12" s="11"/>
      <c r="H12" s="12">
        <v>45885</v>
      </c>
      <c r="I12" s="12">
        <v>45889</v>
      </c>
      <c r="J12" s="11">
        <v>83.77</v>
      </c>
      <c r="K12" s="3" t="s">
        <v>29</v>
      </c>
      <c r="L12" s="3"/>
      <c r="M12" s="9"/>
      <c r="N12" s="12">
        <f t="shared" si="0"/>
        <v>45903</v>
      </c>
      <c r="O12" s="9">
        <f t="shared" ca="1" si="1"/>
        <v>-112</v>
      </c>
      <c r="P12" s="13" t="str">
        <f t="shared" si="2"/>
        <v>https://secure.booking.com/confirmation.html?bn=5809063219&amp;hc_origin=search&amp;pincode=2633&amp;source=help_center</v>
      </c>
      <c r="Q12" s="9" t="s">
        <v>31</v>
      </c>
      <c r="R12" s="9"/>
      <c r="S12" s="9"/>
      <c r="T12" s="9"/>
      <c r="U12" s="9"/>
      <c r="V12" s="9"/>
      <c r="W12" s="9" t="s">
        <v>32</v>
      </c>
      <c r="X12" s="9"/>
      <c r="Y12" s="9"/>
      <c r="Z12" s="3"/>
      <c r="AA12" s="3"/>
    </row>
    <row r="13" spans="1:27" ht="22.5" customHeight="1" x14ac:dyDescent="0.25">
      <c r="A13" s="8">
        <f t="shared" si="4"/>
        <v>45889</v>
      </c>
      <c r="B13" s="9" t="s">
        <v>68</v>
      </c>
      <c r="C13" s="10">
        <v>6400292427</v>
      </c>
      <c r="D13" s="10">
        <v>5058</v>
      </c>
      <c r="E13" s="3" t="s">
        <v>69</v>
      </c>
      <c r="F13" s="9" t="s">
        <v>70</v>
      </c>
      <c r="G13" s="11"/>
      <c r="H13" s="12">
        <v>45886</v>
      </c>
      <c r="I13" s="12">
        <v>45889</v>
      </c>
      <c r="J13" s="11"/>
      <c r="K13" s="3" t="s">
        <v>71</v>
      </c>
      <c r="L13" s="3"/>
      <c r="M13" s="9"/>
      <c r="N13" s="12">
        <f t="shared" si="0"/>
        <v>45903</v>
      </c>
      <c r="O13" s="9">
        <f t="shared" ca="1" si="1"/>
        <v>-112</v>
      </c>
      <c r="P13" s="13" t="str">
        <f t="shared" si="2"/>
        <v>https://secure.booking.com/confirmation.html?bn=6400292427&amp;hc_origin=search&amp;pincode=5058&amp;source=help_center</v>
      </c>
      <c r="Q13" s="9" t="s">
        <v>31</v>
      </c>
      <c r="R13" s="9"/>
      <c r="S13" s="9"/>
      <c r="T13" s="9"/>
      <c r="U13" s="9"/>
      <c r="V13" s="9"/>
      <c r="W13" s="9" t="s">
        <v>32</v>
      </c>
      <c r="X13" s="9"/>
      <c r="Y13" s="9"/>
      <c r="Z13" s="3"/>
      <c r="AA13" s="3"/>
    </row>
    <row r="14" spans="1:27" ht="22.5" customHeight="1" x14ac:dyDescent="0.25">
      <c r="A14" s="8">
        <f t="shared" si="4"/>
        <v>45889</v>
      </c>
      <c r="B14" s="9" t="s">
        <v>72</v>
      </c>
      <c r="C14" s="10">
        <v>5299954374</v>
      </c>
      <c r="D14" s="10">
        <v>9533</v>
      </c>
      <c r="E14" s="3" t="s">
        <v>73</v>
      </c>
      <c r="F14" s="9" t="s">
        <v>74</v>
      </c>
      <c r="G14" s="11"/>
      <c r="H14" s="12">
        <v>45888</v>
      </c>
      <c r="I14" s="12">
        <v>45890</v>
      </c>
      <c r="J14" s="11">
        <v>66.09</v>
      </c>
      <c r="K14" s="3" t="s">
        <v>29</v>
      </c>
      <c r="L14" s="3"/>
      <c r="M14" s="9"/>
      <c r="N14" s="12">
        <f t="shared" si="0"/>
        <v>45904</v>
      </c>
      <c r="O14" s="9">
        <f t="shared" ca="1" si="1"/>
        <v>-111</v>
      </c>
      <c r="P14" s="13" t="str">
        <f t="shared" si="2"/>
        <v>https://secure.booking.com/confirmation.html?bn=5299954374&amp;hc_origin=search&amp;pincode=9533&amp;source=help_center</v>
      </c>
      <c r="Q14" s="9" t="s">
        <v>31</v>
      </c>
      <c r="R14" s="9"/>
      <c r="S14" s="9"/>
      <c r="T14" s="9"/>
      <c r="U14" s="9"/>
      <c r="V14" s="9"/>
      <c r="W14" s="9" t="s">
        <v>32</v>
      </c>
      <c r="X14" s="9"/>
      <c r="Y14" s="9"/>
      <c r="Z14" s="3"/>
      <c r="AA14" s="3"/>
    </row>
    <row r="15" spans="1:27" ht="22.5" customHeight="1" x14ac:dyDescent="0.25">
      <c r="A15" s="8">
        <f t="shared" si="4"/>
        <v>45890</v>
      </c>
      <c r="B15" s="9" t="s">
        <v>75</v>
      </c>
      <c r="C15" s="10">
        <v>6545888724</v>
      </c>
      <c r="D15" s="10">
        <v>5249</v>
      </c>
      <c r="E15" s="3" t="s">
        <v>76</v>
      </c>
      <c r="F15" s="9" t="s">
        <v>77</v>
      </c>
      <c r="G15" s="11"/>
      <c r="H15" s="12">
        <v>45890</v>
      </c>
      <c r="I15" s="12">
        <v>45891</v>
      </c>
      <c r="J15" s="11"/>
      <c r="K15" s="3" t="s">
        <v>36</v>
      </c>
      <c r="L15" s="3"/>
      <c r="M15" s="9"/>
      <c r="N15" s="12">
        <f t="shared" si="0"/>
        <v>45905</v>
      </c>
      <c r="O15" s="9">
        <f t="shared" ca="1" si="1"/>
        <v>-110</v>
      </c>
      <c r="P15" s="13" t="str">
        <f t="shared" si="2"/>
        <v>https://secure.booking.com/confirmation.html?bn=6545888724&amp;hc_origin=search&amp;pincode=5249&amp;source=help_center</v>
      </c>
      <c r="Q15" s="9" t="s">
        <v>31</v>
      </c>
      <c r="R15" s="9"/>
      <c r="S15" s="9"/>
      <c r="T15" s="9"/>
      <c r="U15" s="9"/>
      <c r="V15" s="9"/>
      <c r="W15" s="9" t="s">
        <v>32</v>
      </c>
      <c r="X15" s="9"/>
      <c r="Y15" s="9"/>
      <c r="Z15" s="3"/>
      <c r="AA15" s="3"/>
    </row>
    <row r="16" spans="1:27" ht="22.5" customHeight="1" x14ac:dyDescent="0.25">
      <c r="A16" s="8">
        <f t="shared" si="4"/>
        <v>45891</v>
      </c>
      <c r="B16" s="9" t="s">
        <v>78</v>
      </c>
      <c r="C16" s="10">
        <v>6885699497</v>
      </c>
      <c r="D16" s="10">
        <v>4481</v>
      </c>
      <c r="E16" s="3" t="s">
        <v>79</v>
      </c>
      <c r="F16" s="9" t="s">
        <v>80</v>
      </c>
      <c r="G16" s="11"/>
      <c r="H16" s="12">
        <v>45890</v>
      </c>
      <c r="I16" s="12">
        <v>45893</v>
      </c>
      <c r="J16" s="11"/>
      <c r="K16" s="3" t="s">
        <v>36</v>
      </c>
      <c r="L16" s="3"/>
      <c r="M16" s="9"/>
      <c r="N16" s="12">
        <f t="shared" si="0"/>
        <v>45907</v>
      </c>
      <c r="O16" s="9">
        <f t="shared" ca="1" si="1"/>
        <v>-108</v>
      </c>
      <c r="P16" s="13" t="str">
        <f t="shared" si="2"/>
        <v>https://secure.booking.com/confirmation.html?bn=6885699497&amp;hc_origin=search&amp;pincode=4481&amp;source=help_center</v>
      </c>
      <c r="Q16" s="9" t="s">
        <v>31</v>
      </c>
      <c r="R16" s="9"/>
      <c r="S16" s="9"/>
      <c r="T16" s="9"/>
      <c r="U16" s="9"/>
      <c r="V16" s="9"/>
      <c r="W16" s="9" t="s">
        <v>32</v>
      </c>
      <c r="X16" s="9"/>
      <c r="Y16" s="9"/>
      <c r="Z16" s="3"/>
      <c r="AA16" s="3"/>
    </row>
    <row r="17" spans="1:27" ht="15.75" customHeight="1" x14ac:dyDescent="0.25">
      <c r="A17" s="8">
        <f t="shared" si="4"/>
        <v>45893</v>
      </c>
      <c r="B17" s="9" t="s">
        <v>81</v>
      </c>
      <c r="C17" s="10">
        <v>5700291302</v>
      </c>
      <c r="D17" s="10">
        <v>5644</v>
      </c>
      <c r="E17" s="3" t="s">
        <v>82</v>
      </c>
      <c r="F17" s="9" t="s">
        <v>83</v>
      </c>
      <c r="G17" s="11"/>
      <c r="H17" s="12">
        <v>45890</v>
      </c>
      <c r="I17" s="12">
        <v>45893</v>
      </c>
      <c r="J17" s="11"/>
      <c r="K17" s="3" t="s">
        <v>36</v>
      </c>
      <c r="L17" s="3"/>
      <c r="M17" s="9"/>
      <c r="N17" s="12">
        <f t="shared" si="0"/>
        <v>45907</v>
      </c>
      <c r="O17" s="9">
        <f t="shared" ca="1" si="1"/>
        <v>-108</v>
      </c>
      <c r="P17" s="13" t="str">
        <f t="shared" si="2"/>
        <v>https://secure.booking.com/confirmation.html?bn=5700291302&amp;hc_origin=search&amp;pincode=5644&amp;source=help_center</v>
      </c>
      <c r="Q17" s="9" t="s">
        <v>31</v>
      </c>
      <c r="R17" s="9"/>
      <c r="S17" s="9"/>
      <c r="T17" s="9"/>
      <c r="U17" s="9"/>
      <c r="V17" s="9"/>
      <c r="W17" s="9" t="s">
        <v>32</v>
      </c>
      <c r="X17" s="9"/>
      <c r="Y17" s="9"/>
      <c r="Z17" s="3"/>
      <c r="AA17" s="3"/>
    </row>
    <row r="18" spans="1:27" ht="15.75" customHeight="1" x14ac:dyDescent="0.25">
      <c r="A18" s="8">
        <f t="shared" si="4"/>
        <v>45893</v>
      </c>
      <c r="B18" s="9" t="s">
        <v>84</v>
      </c>
      <c r="C18" s="10">
        <v>5464460504</v>
      </c>
      <c r="D18" s="10">
        <v>8064</v>
      </c>
      <c r="E18" s="3" t="s">
        <v>85</v>
      </c>
      <c r="F18" s="9" t="s">
        <v>86</v>
      </c>
      <c r="G18" s="11"/>
      <c r="H18" s="12">
        <v>45890</v>
      </c>
      <c r="I18" s="12">
        <v>45894</v>
      </c>
      <c r="J18" s="11"/>
      <c r="K18" s="3" t="s">
        <v>36</v>
      </c>
      <c r="L18" s="3"/>
      <c r="M18" s="9"/>
      <c r="N18" s="12">
        <f t="shared" si="0"/>
        <v>45908</v>
      </c>
      <c r="O18" s="9">
        <f t="shared" ca="1" si="1"/>
        <v>-107</v>
      </c>
      <c r="P18" s="13" t="str">
        <f t="shared" si="2"/>
        <v>https://secure.booking.com/confirmation.html?bn=5464460504&amp;hc_origin=search&amp;pincode=8064&amp;source=help_center</v>
      </c>
      <c r="Q18" s="9" t="s">
        <v>31</v>
      </c>
      <c r="R18" s="9"/>
      <c r="S18" s="9"/>
      <c r="T18" s="9"/>
      <c r="U18" s="9"/>
      <c r="V18" s="9"/>
      <c r="W18" s="9" t="s">
        <v>32</v>
      </c>
      <c r="X18" s="9"/>
      <c r="Y18" s="9"/>
      <c r="Z18" s="3"/>
      <c r="AA18" s="3"/>
    </row>
    <row r="19" spans="1:27" ht="15.75" customHeight="1" x14ac:dyDescent="0.25">
      <c r="A19" s="8">
        <f t="shared" si="4"/>
        <v>45894</v>
      </c>
      <c r="B19" s="9" t="s">
        <v>87</v>
      </c>
      <c r="C19" s="10">
        <v>6147972770</v>
      </c>
      <c r="D19" s="10">
        <v>7344</v>
      </c>
      <c r="E19" s="3" t="s">
        <v>88</v>
      </c>
      <c r="F19" s="9" t="s">
        <v>89</v>
      </c>
      <c r="G19" s="11"/>
      <c r="H19" s="12">
        <v>45890</v>
      </c>
      <c r="I19" s="12">
        <v>45894</v>
      </c>
      <c r="J19" s="11"/>
      <c r="K19" s="3" t="s">
        <v>29</v>
      </c>
      <c r="L19" s="3"/>
      <c r="M19" s="9"/>
      <c r="N19" s="12">
        <f t="shared" si="0"/>
        <v>45908</v>
      </c>
      <c r="O19" s="9">
        <f t="shared" ca="1" si="1"/>
        <v>-107</v>
      </c>
      <c r="P19" s="13" t="str">
        <f t="shared" si="2"/>
        <v>https://secure.booking.com/confirmation.html?bn=6147972770&amp;hc_origin=search&amp;pincode=7344&amp;source=help_center</v>
      </c>
      <c r="Q19" s="9" t="s">
        <v>31</v>
      </c>
      <c r="R19" s="9"/>
      <c r="S19" s="9"/>
      <c r="T19" s="9"/>
      <c r="U19" s="9"/>
      <c r="V19" s="9"/>
      <c r="W19" s="9" t="s">
        <v>32</v>
      </c>
      <c r="X19" s="9"/>
      <c r="Y19" s="9"/>
      <c r="Z19" s="3"/>
      <c r="AA19" s="3"/>
    </row>
    <row r="20" spans="1:27" ht="15.75" customHeight="1" x14ac:dyDescent="0.25">
      <c r="A20" s="8">
        <f t="shared" si="4"/>
        <v>45894</v>
      </c>
      <c r="B20" s="9" t="s">
        <v>90</v>
      </c>
      <c r="C20" s="10">
        <v>5755453873</v>
      </c>
      <c r="D20" s="10">
        <v>4691</v>
      </c>
      <c r="E20" s="3" t="s">
        <v>91</v>
      </c>
      <c r="F20" s="9" t="s">
        <v>92</v>
      </c>
      <c r="G20" s="11"/>
      <c r="H20" s="12">
        <v>45898</v>
      </c>
      <c r="I20" s="12">
        <v>45902</v>
      </c>
      <c r="J20" s="11"/>
      <c r="K20" s="3" t="s">
        <v>36</v>
      </c>
      <c r="L20" s="3"/>
      <c r="M20" s="9"/>
      <c r="N20" s="12">
        <f t="shared" si="0"/>
        <v>45916</v>
      </c>
      <c r="O20" s="9">
        <f t="shared" ca="1" si="1"/>
        <v>-99</v>
      </c>
      <c r="P20" s="13" t="str">
        <f t="shared" si="2"/>
        <v>https://secure.booking.com/confirmation.html?bn=5755453873&amp;hc_origin=search&amp;pincode=4691&amp;source=help_center</v>
      </c>
      <c r="Q20" s="9" t="s">
        <v>31</v>
      </c>
      <c r="R20" s="9"/>
      <c r="S20" s="9"/>
      <c r="T20" s="9"/>
      <c r="U20" s="9"/>
      <c r="V20" s="9"/>
      <c r="W20" s="9" t="s">
        <v>32</v>
      </c>
      <c r="X20" s="9"/>
      <c r="Y20" s="9"/>
      <c r="Z20" s="3"/>
      <c r="AA20" s="3"/>
    </row>
    <row r="21" spans="1:27" ht="15.75" customHeight="1" x14ac:dyDescent="0.25">
      <c r="A21" s="8">
        <f t="shared" si="4"/>
        <v>45902</v>
      </c>
      <c r="B21" s="9" t="s">
        <v>93</v>
      </c>
      <c r="C21" s="10">
        <v>6898909549</v>
      </c>
      <c r="D21" s="10">
        <v>7121</v>
      </c>
      <c r="E21" s="3" t="s">
        <v>94</v>
      </c>
      <c r="F21" s="9" t="s">
        <v>95</v>
      </c>
      <c r="G21" s="11"/>
      <c r="H21" s="12">
        <v>45898</v>
      </c>
      <c r="I21" s="12">
        <v>45903</v>
      </c>
      <c r="J21" s="11"/>
      <c r="K21" s="3" t="s">
        <v>36</v>
      </c>
      <c r="L21" s="3"/>
      <c r="M21" s="9"/>
      <c r="N21" s="12">
        <f t="shared" si="0"/>
        <v>45917</v>
      </c>
      <c r="O21" s="9">
        <f t="shared" ca="1" si="1"/>
        <v>-98</v>
      </c>
      <c r="P21" s="13" t="str">
        <f t="shared" si="2"/>
        <v>https://secure.booking.com/confirmation.html?bn=6898909549&amp;hc_origin=search&amp;pincode=7121&amp;source=help_center</v>
      </c>
      <c r="Q21" s="9" t="s">
        <v>31</v>
      </c>
      <c r="R21" s="9"/>
      <c r="S21" s="9"/>
      <c r="T21" s="9"/>
      <c r="U21" s="9"/>
      <c r="V21" s="9"/>
      <c r="W21" s="9" t="s">
        <v>32</v>
      </c>
      <c r="X21" s="9"/>
      <c r="Y21" s="9"/>
      <c r="Z21" s="3"/>
      <c r="AA21" s="3"/>
    </row>
    <row r="22" spans="1:27" ht="15.75" customHeight="1" x14ac:dyDescent="0.25">
      <c r="A22" s="8">
        <f t="shared" si="4"/>
        <v>45903</v>
      </c>
      <c r="B22" s="9" t="s">
        <v>96</v>
      </c>
      <c r="C22" s="10">
        <v>5755401750</v>
      </c>
      <c r="D22" s="10">
        <v>8105</v>
      </c>
      <c r="E22" s="3" t="s">
        <v>97</v>
      </c>
      <c r="F22" s="9" t="s">
        <v>98</v>
      </c>
      <c r="G22" s="11"/>
      <c r="H22" s="12">
        <v>45900</v>
      </c>
      <c r="I22" s="12">
        <v>45903</v>
      </c>
      <c r="J22" s="11">
        <v>5</v>
      </c>
      <c r="K22" s="3" t="s">
        <v>29</v>
      </c>
      <c r="L22" s="3"/>
      <c r="M22" s="9"/>
      <c r="N22" s="12">
        <f t="shared" si="0"/>
        <v>45917</v>
      </c>
      <c r="O22" s="9">
        <f t="shared" ca="1" si="1"/>
        <v>-98</v>
      </c>
      <c r="P22" s="13" t="str">
        <f t="shared" si="2"/>
        <v>https://secure.booking.com/confirmation.html?bn=5755401750&amp;hc_origin=search&amp;pincode=8105&amp;source=help_center</v>
      </c>
      <c r="Q22" s="9" t="s">
        <v>31</v>
      </c>
      <c r="R22" s="9"/>
      <c r="S22" s="9"/>
      <c r="T22" s="9"/>
      <c r="U22" s="9"/>
      <c r="V22" s="9"/>
      <c r="W22" s="9" t="s">
        <v>32</v>
      </c>
      <c r="X22" s="9"/>
      <c r="Y22" s="9"/>
      <c r="Z22" s="3"/>
      <c r="AA22" s="3"/>
    </row>
    <row r="23" spans="1:27" ht="15.75" customHeight="1" x14ac:dyDescent="0.25">
      <c r="A23" s="8" t="e">
        <f>#REF!</f>
        <v>#REF!</v>
      </c>
      <c r="B23" s="9" t="s">
        <v>99</v>
      </c>
      <c r="C23" s="10">
        <v>6552996011</v>
      </c>
      <c r="D23" s="10">
        <v>1267</v>
      </c>
      <c r="E23" s="3" t="s">
        <v>73</v>
      </c>
      <c r="F23" s="9" t="s">
        <v>74</v>
      </c>
      <c r="G23" s="11"/>
      <c r="H23" s="12">
        <v>45901</v>
      </c>
      <c r="I23" s="12">
        <v>45904</v>
      </c>
      <c r="J23" s="11">
        <v>40.909999999999997</v>
      </c>
      <c r="K23" s="3" t="s">
        <v>29</v>
      </c>
      <c r="L23" s="3"/>
      <c r="M23" s="9"/>
      <c r="N23" s="12">
        <f t="shared" si="0"/>
        <v>45918</v>
      </c>
      <c r="O23" s="9">
        <f t="shared" ca="1" si="1"/>
        <v>-97</v>
      </c>
      <c r="P23" s="13" t="str">
        <f t="shared" si="2"/>
        <v>https://secure.booking.com/confirmation.html?bn=6552996011&amp;hc_origin=search&amp;pincode=1267&amp;source=help_center</v>
      </c>
      <c r="Q23" s="9" t="s">
        <v>31</v>
      </c>
      <c r="R23" s="9"/>
      <c r="S23" s="9"/>
      <c r="T23" s="9"/>
      <c r="U23" s="9"/>
      <c r="V23" s="9"/>
      <c r="W23" s="9" t="s">
        <v>32</v>
      </c>
      <c r="X23" s="9"/>
      <c r="Y23" s="9"/>
      <c r="Z23" s="3"/>
      <c r="AA23" s="3"/>
    </row>
    <row r="24" spans="1:27" ht="15.75" customHeight="1" x14ac:dyDescent="0.25">
      <c r="A24" s="8">
        <f t="shared" ref="A24:A34" si="5">I23</f>
        <v>45904</v>
      </c>
      <c r="B24" s="9" t="s">
        <v>37</v>
      </c>
      <c r="C24" s="10">
        <v>5340161836</v>
      </c>
      <c r="D24" s="10">
        <v>1737</v>
      </c>
      <c r="E24" s="3" t="s">
        <v>100</v>
      </c>
      <c r="F24" s="9" t="s">
        <v>101</v>
      </c>
      <c r="G24" s="11"/>
      <c r="H24" s="12">
        <v>46008</v>
      </c>
      <c r="I24" s="12">
        <v>45908</v>
      </c>
      <c r="J24" s="11"/>
      <c r="K24" s="3" t="s">
        <v>36</v>
      </c>
      <c r="L24" s="3"/>
      <c r="M24" s="9"/>
      <c r="N24" s="12">
        <f t="shared" si="0"/>
        <v>45922</v>
      </c>
      <c r="O24" s="9">
        <f t="shared" ca="1" si="1"/>
        <v>-93</v>
      </c>
      <c r="P24" s="13" t="str">
        <f t="shared" si="2"/>
        <v>https://secure.booking.com/confirmation.html?bn=5340161836&amp;hc_origin=search&amp;pincode=1737&amp;source=help_center</v>
      </c>
      <c r="Q24" s="9" t="s">
        <v>71</v>
      </c>
      <c r="R24" s="9" t="s">
        <v>101</v>
      </c>
      <c r="S24" s="9" t="s">
        <v>102</v>
      </c>
      <c r="T24" s="9" t="s">
        <v>103</v>
      </c>
      <c r="U24" s="9" t="s">
        <v>104</v>
      </c>
      <c r="V24" s="9"/>
      <c r="W24" s="9" t="s">
        <v>32</v>
      </c>
      <c r="X24" s="9" t="s">
        <v>105</v>
      </c>
      <c r="Y24" s="9" t="s">
        <v>106</v>
      </c>
      <c r="Z24" s="3"/>
      <c r="AA24" s="3"/>
    </row>
    <row r="25" spans="1:27" ht="15.75" customHeight="1" x14ac:dyDescent="0.25">
      <c r="A25" s="8">
        <f t="shared" si="5"/>
        <v>45908</v>
      </c>
      <c r="B25" s="9" t="s">
        <v>107</v>
      </c>
      <c r="C25" s="10">
        <v>6920726655</v>
      </c>
      <c r="D25" s="10">
        <v>1346</v>
      </c>
      <c r="E25" s="3" t="s">
        <v>108</v>
      </c>
      <c r="F25" s="9" t="s">
        <v>109</v>
      </c>
      <c r="G25" s="11"/>
      <c r="H25" s="12">
        <v>45907</v>
      </c>
      <c r="I25" s="12">
        <v>45908</v>
      </c>
      <c r="J25" s="11"/>
      <c r="K25" s="3" t="s">
        <v>36</v>
      </c>
      <c r="L25" s="3"/>
      <c r="M25" s="9"/>
      <c r="N25" s="12">
        <f t="shared" si="0"/>
        <v>45922</v>
      </c>
      <c r="O25" s="9">
        <f t="shared" ca="1" si="1"/>
        <v>-93</v>
      </c>
      <c r="P25" s="13" t="str">
        <f t="shared" si="2"/>
        <v>https://secure.booking.com/confirmation.html?bn=6920726655&amp;hc_origin=search&amp;pincode=1346&amp;source=help_center</v>
      </c>
      <c r="Q25" s="9" t="s">
        <v>71</v>
      </c>
      <c r="R25" s="9" t="s">
        <v>109</v>
      </c>
      <c r="S25" s="9" t="s">
        <v>110</v>
      </c>
      <c r="T25" s="9" t="s">
        <v>103</v>
      </c>
      <c r="U25" s="9"/>
      <c r="V25" s="9"/>
      <c r="W25" s="9" t="s">
        <v>32</v>
      </c>
      <c r="X25" s="9" t="s">
        <v>111</v>
      </c>
      <c r="Y25" s="9" t="s">
        <v>112</v>
      </c>
      <c r="Z25" s="3"/>
      <c r="AA25" s="3"/>
    </row>
    <row r="26" spans="1:27" ht="15.75" customHeight="1" x14ac:dyDescent="0.25">
      <c r="A26" s="8">
        <f t="shared" si="5"/>
        <v>45908</v>
      </c>
      <c r="B26" s="9" t="s">
        <v>113</v>
      </c>
      <c r="C26" s="10">
        <v>6503981210</v>
      </c>
      <c r="D26" s="10">
        <v>2387</v>
      </c>
      <c r="E26" s="3" t="s">
        <v>114</v>
      </c>
      <c r="F26" s="9" t="s">
        <v>115</v>
      </c>
      <c r="G26" s="11"/>
      <c r="H26" s="12">
        <v>45908</v>
      </c>
      <c r="I26" s="12">
        <v>45910</v>
      </c>
      <c r="J26" s="11"/>
      <c r="K26" s="3" t="s">
        <v>36</v>
      </c>
      <c r="L26" s="3"/>
      <c r="M26" s="9"/>
      <c r="N26" s="12">
        <f t="shared" si="0"/>
        <v>45924</v>
      </c>
      <c r="O26" s="9">
        <f t="shared" ca="1" si="1"/>
        <v>-91</v>
      </c>
      <c r="P26" s="13" t="str">
        <f t="shared" si="2"/>
        <v>https://secure.booking.com/confirmation.html?bn=6503981210&amp;hc_origin=search&amp;pincode=2387&amp;source=help_center</v>
      </c>
      <c r="Q26" s="9" t="s">
        <v>71</v>
      </c>
      <c r="R26" s="9" t="s">
        <v>115</v>
      </c>
      <c r="S26" s="9" t="s">
        <v>103</v>
      </c>
      <c r="T26" s="9" t="s">
        <v>116</v>
      </c>
      <c r="U26" s="9"/>
      <c r="V26" s="9"/>
      <c r="W26" s="9" t="s">
        <v>32</v>
      </c>
      <c r="X26" s="9" t="s">
        <v>117</v>
      </c>
      <c r="Y26" s="9" t="s">
        <v>118</v>
      </c>
      <c r="Z26" s="3"/>
      <c r="AA26" s="3"/>
    </row>
    <row r="27" spans="1:27" ht="15.75" customHeight="1" x14ac:dyDescent="0.25">
      <c r="A27" s="8">
        <f t="shared" si="5"/>
        <v>45910</v>
      </c>
      <c r="B27" s="9" t="s">
        <v>59</v>
      </c>
      <c r="C27" s="10">
        <v>6946769023</v>
      </c>
      <c r="D27" s="10">
        <v>1496</v>
      </c>
      <c r="E27" s="3" t="s">
        <v>60</v>
      </c>
      <c r="F27" s="9" t="s">
        <v>61</v>
      </c>
      <c r="G27" s="11"/>
      <c r="H27" s="12">
        <v>45909</v>
      </c>
      <c r="I27" s="12">
        <v>45910</v>
      </c>
      <c r="J27" s="11"/>
      <c r="K27" s="3" t="s">
        <v>36</v>
      </c>
      <c r="L27" s="3"/>
      <c r="M27" s="9"/>
      <c r="N27" s="12">
        <f t="shared" si="0"/>
        <v>45924</v>
      </c>
      <c r="O27" s="9">
        <f t="shared" ca="1" si="1"/>
        <v>-91</v>
      </c>
      <c r="P27" s="13" t="str">
        <f t="shared" si="2"/>
        <v>https://secure.booking.com/confirmation.html?bn=6946769023&amp;hc_origin=search&amp;pincode=1496&amp;source=help_center</v>
      </c>
      <c r="Q27" s="9" t="s">
        <v>71</v>
      </c>
      <c r="R27" s="9" t="s">
        <v>61</v>
      </c>
      <c r="S27" s="9" t="s">
        <v>119</v>
      </c>
      <c r="T27" s="9" t="s">
        <v>116</v>
      </c>
      <c r="U27" s="9" t="s">
        <v>120</v>
      </c>
      <c r="V27" s="9"/>
      <c r="W27" s="9" t="s">
        <v>32</v>
      </c>
      <c r="X27" s="9" t="s">
        <v>121</v>
      </c>
      <c r="Y27" s="9" t="s">
        <v>122</v>
      </c>
      <c r="Z27" s="3"/>
      <c r="AA27" s="3"/>
    </row>
    <row r="28" spans="1:27" ht="15.75" customHeight="1" x14ac:dyDescent="0.25">
      <c r="A28" s="8">
        <f t="shared" si="5"/>
        <v>45910</v>
      </c>
      <c r="B28" s="9" t="s">
        <v>123</v>
      </c>
      <c r="C28" s="10">
        <v>6726004879</v>
      </c>
      <c r="D28" s="10">
        <v>4171</v>
      </c>
      <c r="E28" s="3" t="s">
        <v>124</v>
      </c>
      <c r="F28" s="9" t="s">
        <v>125</v>
      </c>
      <c r="G28" s="11"/>
      <c r="H28" s="12">
        <v>45910</v>
      </c>
      <c r="I28" s="12">
        <v>45911</v>
      </c>
      <c r="J28" s="11"/>
      <c r="K28" s="3" t="s">
        <v>36</v>
      </c>
      <c r="L28" s="3"/>
      <c r="M28" s="9"/>
      <c r="N28" s="12">
        <f t="shared" si="0"/>
        <v>45925</v>
      </c>
      <c r="O28" s="9">
        <f t="shared" ca="1" si="1"/>
        <v>-90</v>
      </c>
      <c r="P28" s="13" t="str">
        <f t="shared" si="2"/>
        <v>https://secure.booking.com/confirmation.html?bn=6726004879&amp;hc_origin=search&amp;pincode=4171&amp;source=help_center</v>
      </c>
      <c r="Q28" s="9" t="s">
        <v>71</v>
      </c>
      <c r="R28" s="9" t="s">
        <v>125</v>
      </c>
      <c r="S28" s="9" t="s">
        <v>116</v>
      </c>
      <c r="T28" s="9" t="s">
        <v>126</v>
      </c>
      <c r="U28" s="9"/>
      <c r="V28" s="9"/>
      <c r="W28" s="9" t="s">
        <v>32</v>
      </c>
      <c r="X28" s="9" t="s">
        <v>127</v>
      </c>
      <c r="Y28" s="9" t="s">
        <v>128</v>
      </c>
      <c r="Z28" s="3"/>
      <c r="AA28" s="3"/>
    </row>
    <row r="29" spans="1:27" ht="15.75" customHeight="1" x14ac:dyDescent="0.25">
      <c r="A29" s="8">
        <f t="shared" si="5"/>
        <v>45911</v>
      </c>
      <c r="B29" s="9" t="s">
        <v>129</v>
      </c>
      <c r="C29" s="10">
        <v>5415078458</v>
      </c>
      <c r="D29" s="10">
        <v>7842</v>
      </c>
      <c r="E29" s="3" t="s">
        <v>130</v>
      </c>
      <c r="F29" s="9" t="s">
        <v>131</v>
      </c>
      <c r="G29" s="11"/>
      <c r="H29" s="12">
        <v>45908</v>
      </c>
      <c r="I29" s="12">
        <v>45912</v>
      </c>
      <c r="J29" s="11"/>
      <c r="K29" s="3" t="s">
        <v>36</v>
      </c>
      <c r="L29" s="3"/>
      <c r="M29" s="9"/>
      <c r="N29" s="12">
        <f t="shared" si="0"/>
        <v>45926</v>
      </c>
      <c r="O29" s="9">
        <f t="shared" ca="1" si="1"/>
        <v>-89</v>
      </c>
      <c r="P29" s="13" t="str">
        <f t="shared" si="2"/>
        <v>https://secure.booking.com/confirmation.html?bn=5415078458&amp;hc_origin=search&amp;pincode=7842&amp;source=help_center</v>
      </c>
      <c r="Q29" s="9" t="s">
        <v>71</v>
      </c>
      <c r="R29" s="9" t="s">
        <v>131</v>
      </c>
      <c r="S29" s="9" t="s">
        <v>103</v>
      </c>
      <c r="T29" s="9" t="s">
        <v>132</v>
      </c>
      <c r="U29" s="9"/>
      <c r="V29" s="9"/>
      <c r="W29" s="9" t="s">
        <v>32</v>
      </c>
      <c r="X29" s="9" t="s">
        <v>133</v>
      </c>
      <c r="Y29" s="9" t="s">
        <v>134</v>
      </c>
      <c r="Z29" s="3"/>
      <c r="AA29" s="3"/>
    </row>
    <row r="30" spans="1:27" ht="15.75" customHeight="1" x14ac:dyDescent="0.25">
      <c r="A30" s="8">
        <f t="shared" si="5"/>
        <v>45912</v>
      </c>
      <c r="B30" s="9" t="s">
        <v>135</v>
      </c>
      <c r="C30" s="10">
        <v>5394060092</v>
      </c>
      <c r="D30" s="10">
        <v>1636</v>
      </c>
      <c r="E30" s="3" t="s">
        <v>136</v>
      </c>
      <c r="F30" s="9" t="s">
        <v>137</v>
      </c>
      <c r="G30" s="11"/>
      <c r="H30" s="12">
        <v>45910</v>
      </c>
      <c r="I30" s="12">
        <v>45912</v>
      </c>
      <c r="J30" s="11"/>
      <c r="K30" s="3" t="s">
        <v>36</v>
      </c>
      <c r="L30" s="3"/>
      <c r="M30" s="9"/>
      <c r="N30" s="12">
        <f t="shared" si="0"/>
        <v>45926</v>
      </c>
      <c r="O30" s="9">
        <f t="shared" ca="1" si="1"/>
        <v>-89</v>
      </c>
      <c r="P30" s="13" t="str">
        <f t="shared" si="2"/>
        <v>https://secure.booking.com/confirmation.html?bn=5394060092&amp;hc_origin=search&amp;pincode=1636&amp;source=help_center</v>
      </c>
      <c r="Q30" s="9" t="s">
        <v>71</v>
      </c>
      <c r="R30" s="9" t="s">
        <v>137</v>
      </c>
      <c r="S30" s="9" t="s">
        <v>116</v>
      </c>
      <c r="T30" s="9" t="s">
        <v>132</v>
      </c>
      <c r="U30" s="9"/>
      <c r="V30" s="9"/>
      <c r="W30" s="9" t="s">
        <v>32</v>
      </c>
      <c r="X30" s="9" t="s">
        <v>138</v>
      </c>
      <c r="Y30" s="9" t="s">
        <v>139</v>
      </c>
      <c r="Z30" s="3"/>
      <c r="AA30" s="3"/>
    </row>
    <row r="31" spans="1:27" ht="15.75" customHeight="1" x14ac:dyDescent="0.25">
      <c r="A31" s="8">
        <f t="shared" si="5"/>
        <v>45912</v>
      </c>
      <c r="B31" s="9" t="s">
        <v>56</v>
      </c>
      <c r="C31" s="10">
        <v>6607229062</v>
      </c>
      <c r="D31" s="10">
        <v>9585</v>
      </c>
      <c r="E31" s="3" t="s">
        <v>57</v>
      </c>
      <c r="F31" s="9" t="s">
        <v>58</v>
      </c>
      <c r="G31" s="11"/>
      <c r="H31" s="12">
        <v>45909</v>
      </c>
      <c r="I31" s="12">
        <v>45912</v>
      </c>
      <c r="J31" s="11">
        <v>94.13</v>
      </c>
      <c r="K31" s="3" t="s">
        <v>29</v>
      </c>
      <c r="L31" s="3"/>
      <c r="M31" s="9"/>
      <c r="N31" s="12">
        <f t="shared" si="0"/>
        <v>45926</v>
      </c>
      <c r="O31" s="9">
        <f t="shared" ca="1" si="1"/>
        <v>-89</v>
      </c>
      <c r="P31" s="13" t="str">
        <f t="shared" si="2"/>
        <v>https://secure.booking.com/confirmation.html?bn=6607229062&amp;hc_origin=search&amp;pincode=9585&amp;source=help_center</v>
      </c>
      <c r="Q31" s="9" t="s">
        <v>140</v>
      </c>
      <c r="R31" s="9" t="s">
        <v>58</v>
      </c>
      <c r="S31" s="9" t="s">
        <v>119</v>
      </c>
      <c r="T31" s="9" t="s">
        <v>132</v>
      </c>
      <c r="U31" s="9" t="s">
        <v>141</v>
      </c>
      <c r="V31" s="9"/>
      <c r="W31" s="9" t="s">
        <v>32</v>
      </c>
      <c r="X31" s="9" t="s">
        <v>142</v>
      </c>
      <c r="Y31" s="9" t="s">
        <v>143</v>
      </c>
      <c r="Z31" s="3"/>
      <c r="AA31" s="3"/>
    </row>
    <row r="32" spans="1:27" ht="15.75" customHeight="1" x14ac:dyDescent="0.25">
      <c r="A32" s="8">
        <f t="shared" si="5"/>
        <v>45912</v>
      </c>
      <c r="B32" s="9" t="s">
        <v>65</v>
      </c>
      <c r="C32" s="10">
        <v>6556644114</v>
      </c>
      <c r="D32" s="10">
        <v>6001</v>
      </c>
      <c r="E32" s="3" t="s">
        <v>66</v>
      </c>
      <c r="F32" s="9" t="s">
        <v>67</v>
      </c>
      <c r="G32" s="11"/>
      <c r="H32" s="12">
        <v>45909</v>
      </c>
      <c r="I32" s="12">
        <v>45912</v>
      </c>
      <c r="J32" s="11">
        <v>92.43</v>
      </c>
      <c r="K32" s="3" t="s">
        <v>29</v>
      </c>
      <c r="L32" s="3"/>
      <c r="M32" s="9"/>
      <c r="N32" s="12">
        <f t="shared" si="0"/>
        <v>45926</v>
      </c>
      <c r="O32" s="9">
        <f t="shared" ca="1" si="1"/>
        <v>-89</v>
      </c>
      <c r="P32" s="13" t="str">
        <f t="shared" si="2"/>
        <v>https://secure.booking.com/confirmation.html?bn=6556644114&amp;hc_origin=search&amp;pincode=6001&amp;source=help_center</v>
      </c>
      <c r="Q32" s="9" t="s">
        <v>140</v>
      </c>
      <c r="R32" s="9" t="s">
        <v>67</v>
      </c>
      <c r="S32" s="9" t="s">
        <v>119</v>
      </c>
      <c r="T32" s="9" t="s">
        <v>132</v>
      </c>
      <c r="U32" s="9"/>
      <c r="V32" s="9"/>
      <c r="W32" s="9" t="s">
        <v>32</v>
      </c>
      <c r="X32" s="9" t="s">
        <v>144</v>
      </c>
      <c r="Y32" s="9" t="s">
        <v>145</v>
      </c>
      <c r="Z32" s="3"/>
      <c r="AA32" s="3"/>
    </row>
    <row r="33" spans="1:27" ht="15.75" customHeight="1" x14ac:dyDescent="0.25">
      <c r="A33" s="8">
        <f t="shared" si="5"/>
        <v>45912</v>
      </c>
      <c r="B33" s="9" t="s">
        <v>62</v>
      </c>
      <c r="C33" s="10">
        <v>5716610640</v>
      </c>
      <c r="D33" s="10">
        <v>8547</v>
      </c>
      <c r="E33" s="3" t="s">
        <v>63</v>
      </c>
      <c r="F33" s="9" t="s">
        <v>64</v>
      </c>
      <c r="G33" s="11"/>
      <c r="H33" s="12">
        <v>45909</v>
      </c>
      <c r="I33" s="12">
        <v>45912</v>
      </c>
      <c r="J33" s="11">
        <v>100.35</v>
      </c>
      <c r="K33" s="3" t="s">
        <v>29</v>
      </c>
      <c r="L33" s="3"/>
      <c r="M33" s="9"/>
      <c r="N33" s="12">
        <f t="shared" si="0"/>
        <v>45926</v>
      </c>
      <c r="O33" s="9">
        <f t="shared" ca="1" si="1"/>
        <v>-89</v>
      </c>
      <c r="P33" s="13" t="str">
        <f t="shared" si="2"/>
        <v>https://secure.booking.com/confirmation.html?bn=5716610640&amp;hc_origin=search&amp;pincode=8547&amp;source=help_center</v>
      </c>
      <c r="Q33" s="9" t="s">
        <v>140</v>
      </c>
      <c r="R33" s="9" t="s">
        <v>64</v>
      </c>
      <c r="S33" s="9" t="s">
        <v>119</v>
      </c>
      <c r="T33" s="9" t="s">
        <v>132</v>
      </c>
      <c r="U33" s="9" t="s">
        <v>146</v>
      </c>
      <c r="V33" s="9"/>
      <c r="W33" s="9" t="s">
        <v>32</v>
      </c>
      <c r="X33" s="9" t="s">
        <v>147</v>
      </c>
      <c r="Y33" s="9" t="s">
        <v>148</v>
      </c>
      <c r="Z33" s="3"/>
      <c r="AA33" s="3"/>
    </row>
    <row r="34" spans="1:27" ht="15.75" customHeight="1" x14ac:dyDescent="0.25">
      <c r="A34" s="8">
        <f t="shared" si="5"/>
        <v>45912</v>
      </c>
      <c r="B34" s="9" t="s">
        <v>149</v>
      </c>
      <c r="C34" s="10">
        <v>5643382672</v>
      </c>
      <c r="D34" s="10">
        <v>1710</v>
      </c>
      <c r="E34" s="3" t="s">
        <v>150</v>
      </c>
      <c r="F34" s="9" t="s">
        <v>151</v>
      </c>
      <c r="G34" s="11"/>
      <c r="H34" s="12">
        <v>45907</v>
      </c>
      <c r="I34" s="12">
        <v>45912</v>
      </c>
      <c r="J34" s="11"/>
      <c r="K34" s="3" t="s">
        <v>36</v>
      </c>
      <c r="L34" s="3"/>
      <c r="M34" s="9"/>
      <c r="N34" s="12">
        <f t="shared" si="0"/>
        <v>45926</v>
      </c>
      <c r="O34" s="9">
        <f t="shared" ca="1" si="1"/>
        <v>-89</v>
      </c>
      <c r="P34" s="13" t="str">
        <f t="shared" si="2"/>
        <v>https://secure.booking.com/confirmation.html?bn=5643382672&amp;hc_origin=search&amp;pincode=1710&amp;source=help_center</v>
      </c>
      <c r="Q34" s="9" t="s">
        <v>71</v>
      </c>
      <c r="R34" s="9" t="s">
        <v>151</v>
      </c>
      <c r="S34" s="9" t="s">
        <v>110</v>
      </c>
      <c r="T34" s="9" t="s">
        <v>132</v>
      </c>
      <c r="U34" s="9"/>
      <c r="V34" s="9"/>
      <c r="W34" s="9" t="s">
        <v>32</v>
      </c>
      <c r="X34" s="9" t="s">
        <v>152</v>
      </c>
      <c r="Y34" s="9" t="s">
        <v>153</v>
      </c>
      <c r="Z34" s="3"/>
      <c r="AA34" s="3"/>
    </row>
    <row r="35" spans="1:27" ht="15.75" customHeight="1" x14ac:dyDescent="0.25">
      <c r="A35" s="8">
        <v>45912</v>
      </c>
      <c r="B35" s="9" t="s">
        <v>26</v>
      </c>
      <c r="C35" s="10">
        <v>6762830666</v>
      </c>
      <c r="D35" s="10">
        <v>4063</v>
      </c>
      <c r="E35" s="3" t="s">
        <v>27</v>
      </c>
      <c r="F35" s="9" t="s">
        <v>28</v>
      </c>
      <c r="G35" s="11"/>
      <c r="H35" s="12">
        <v>45992</v>
      </c>
      <c r="I35" s="12">
        <v>45912</v>
      </c>
      <c r="J35" s="11">
        <v>110</v>
      </c>
      <c r="K35" s="3" t="s">
        <v>29</v>
      </c>
      <c r="L35" s="3" t="s">
        <v>30</v>
      </c>
      <c r="M35" s="9"/>
      <c r="N35" s="12">
        <f t="shared" si="0"/>
        <v>45926</v>
      </c>
      <c r="O35" s="9">
        <f t="shared" ca="1" si="1"/>
        <v>-89</v>
      </c>
      <c r="P35" s="13" t="str">
        <f t="shared" si="2"/>
        <v>https://secure.booking.com/confirmation.html?bn=6762830666&amp;hc_origin=search&amp;pincode=4063&amp;source=help_center</v>
      </c>
      <c r="Q35" s="9" t="s">
        <v>31</v>
      </c>
      <c r="R35" s="9"/>
      <c r="S35" s="9"/>
      <c r="T35" s="9"/>
      <c r="U35" s="9"/>
      <c r="V35" s="9"/>
      <c r="W35" s="9" t="s">
        <v>32</v>
      </c>
      <c r="X35" s="9"/>
      <c r="Y35" s="9"/>
      <c r="Z35" s="3"/>
      <c r="AA35" s="3"/>
    </row>
    <row r="36" spans="1:27" ht="15.75" customHeight="1" x14ac:dyDescent="0.25">
      <c r="A36" s="8">
        <f t="shared" ref="A36:A95" si="6">I35</f>
        <v>45912</v>
      </c>
      <c r="B36" s="9" t="s">
        <v>154</v>
      </c>
      <c r="C36" s="10">
        <v>5364900961</v>
      </c>
      <c r="D36" s="10">
        <v>4145</v>
      </c>
      <c r="E36" s="3" t="s">
        <v>155</v>
      </c>
      <c r="F36" s="9" t="s">
        <v>156</v>
      </c>
      <c r="G36" s="11"/>
      <c r="H36" s="12">
        <v>45914</v>
      </c>
      <c r="I36" s="12">
        <v>45916</v>
      </c>
      <c r="J36" s="11">
        <v>46.83</v>
      </c>
      <c r="K36" s="3" t="s">
        <v>29</v>
      </c>
      <c r="L36" s="3"/>
      <c r="M36" s="9"/>
      <c r="N36" s="12">
        <f t="shared" si="0"/>
        <v>45930</v>
      </c>
      <c r="O36" s="9">
        <f t="shared" ca="1" si="1"/>
        <v>-85</v>
      </c>
      <c r="P36" s="13" t="str">
        <f t="shared" si="2"/>
        <v>https://secure.booking.com/confirmation.html?bn=5364900961&amp;hc_origin=search&amp;pincode=4145&amp;source=help_center</v>
      </c>
      <c r="Q36" s="9" t="s">
        <v>140</v>
      </c>
      <c r="R36" s="9" t="s">
        <v>156</v>
      </c>
      <c r="S36" s="9" t="s">
        <v>157</v>
      </c>
      <c r="T36" s="9" t="s">
        <v>158</v>
      </c>
      <c r="U36" s="9" t="s">
        <v>159</v>
      </c>
      <c r="V36" s="9"/>
      <c r="W36" s="9" t="s">
        <v>32</v>
      </c>
      <c r="X36" s="9" t="s">
        <v>160</v>
      </c>
      <c r="Y36" s="9" t="s">
        <v>161</v>
      </c>
      <c r="Z36" s="3"/>
      <c r="AA36" s="3"/>
    </row>
    <row r="37" spans="1:27" ht="15.75" customHeight="1" x14ac:dyDescent="0.25">
      <c r="A37" s="8">
        <f t="shared" si="6"/>
        <v>45916</v>
      </c>
      <c r="B37" s="9" t="s">
        <v>162</v>
      </c>
      <c r="C37" s="10">
        <v>6424700973</v>
      </c>
      <c r="D37" s="10">
        <v>4526</v>
      </c>
      <c r="E37" s="3" t="s">
        <v>69</v>
      </c>
      <c r="F37" s="9" t="s">
        <v>70</v>
      </c>
      <c r="G37" s="11"/>
      <c r="H37" s="12">
        <v>45914</v>
      </c>
      <c r="I37" s="12">
        <v>45916</v>
      </c>
      <c r="J37" s="11"/>
      <c r="K37" s="3" t="s">
        <v>36</v>
      </c>
      <c r="L37" s="3"/>
      <c r="M37" s="9"/>
      <c r="N37" s="12">
        <f t="shared" si="0"/>
        <v>45930</v>
      </c>
      <c r="O37" s="9">
        <f t="shared" ca="1" si="1"/>
        <v>-85</v>
      </c>
      <c r="P37" s="13" t="str">
        <f t="shared" si="2"/>
        <v>https://secure.booking.com/confirmation.html?bn=6424700973&amp;hc_origin=search&amp;pincode=4526&amp;source=help_center</v>
      </c>
      <c r="Q37" s="9" t="s">
        <v>71</v>
      </c>
      <c r="R37" s="9"/>
      <c r="S37" s="9" t="s">
        <v>163</v>
      </c>
      <c r="T37" s="9" t="s">
        <v>164</v>
      </c>
      <c r="U37" s="9"/>
      <c r="V37" s="9"/>
      <c r="W37" s="9" t="s">
        <v>32</v>
      </c>
      <c r="X37" s="9" t="s">
        <v>165</v>
      </c>
      <c r="Y37" s="9" t="s">
        <v>166</v>
      </c>
      <c r="Z37" s="3"/>
      <c r="AA37" s="3"/>
    </row>
    <row r="38" spans="1:27" ht="15.75" customHeight="1" x14ac:dyDescent="0.25">
      <c r="A38" s="8">
        <f t="shared" si="6"/>
        <v>45916</v>
      </c>
      <c r="B38" s="9" t="s">
        <v>167</v>
      </c>
      <c r="C38" s="10">
        <v>5200474262</v>
      </c>
      <c r="D38" s="10">
        <v>8267</v>
      </c>
      <c r="E38" s="3" t="s">
        <v>168</v>
      </c>
      <c r="F38" s="9" t="s">
        <v>169</v>
      </c>
      <c r="G38" s="11"/>
      <c r="H38" s="12">
        <v>45915</v>
      </c>
      <c r="I38" s="12">
        <v>45917</v>
      </c>
      <c r="J38" s="11">
        <v>84.94</v>
      </c>
      <c r="K38" s="3" t="s">
        <v>29</v>
      </c>
      <c r="L38" s="3"/>
      <c r="M38" s="9"/>
      <c r="N38" s="12">
        <f t="shared" si="0"/>
        <v>45931</v>
      </c>
      <c r="O38" s="9">
        <f t="shared" ca="1" si="1"/>
        <v>-84</v>
      </c>
      <c r="P38" s="13" t="str">
        <f t="shared" si="2"/>
        <v>https://secure.booking.com/confirmation.html?bn=5200474262&amp;hc_origin=search&amp;pincode=8267&amp;source=help_center</v>
      </c>
      <c r="Q38" s="9" t="s">
        <v>140</v>
      </c>
      <c r="R38" s="9" t="s">
        <v>169</v>
      </c>
      <c r="S38" s="9" t="s">
        <v>170</v>
      </c>
      <c r="T38" s="9" t="s">
        <v>171</v>
      </c>
      <c r="U38" s="9" t="s">
        <v>172</v>
      </c>
      <c r="V38" s="9"/>
      <c r="W38" s="9" t="s">
        <v>32</v>
      </c>
      <c r="X38" s="9" t="s">
        <v>173</v>
      </c>
      <c r="Y38" s="9" t="s">
        <v>174</v>
      </c>
      <c r="Z38" s="3"/>
      <c r="AA38" s="3"/>
    </row>
    <row r="39" spans="1:27" ht="15.75" customHeight="1" x14ac:dyDescent="0.25">
      <c r="A39" s="8">
        <f t="shared" si="6"/>
        <v>45917</v>
      </c>
      <c r="B39" s="9" t="s">
        <v>175</v>
      </c>
      <c r="C39" s="10">
        <v>5200421714</v>
      </c>
      <c r="D39" s="10">
        <v>9981</v>
      </c>
      <c r="E39" s="3" t="s">
        <v>66</v>
      </c>
      <c r="F39" s="9" t="s">
        <v>67</v>
      </c>
      <c r="G39" s="11"/>
      <c r="H39" s="12">
        <v>45914</v>
      </c>
      <c r="I39" s="12">
        <v>45918</v>
      </c>
      <c r="J39" s="11">
        <v>114.74</v>
      </c>
      <c r="K39" s="3" t="s">
        <v>29</v>
      </c>
      <c r="L39" s="3"/>
      <c r="M39" s="9"/>
      <c r="N39" s="12">
        <f t="shared" si="0"/>
        <v>45932</v>
      </c>
      <c r="O39" s="9">
        <f t="shared" ca="1" si="1"/>
        <v>-83</v>
      </c>
      <c r="P39" s="13" t="str">
        <f t="shared" si="2"/>
        <v>https://secure.booking.com/confirmation.html?bn=5200421714&amp;hc_origin=search&amp;pincode=9981&amp;source=help_center</v>
      </c>
      <c r="Q39" s="9" t="s">
        <v>140</v>
      </c>
      <c r="R39" s="9" t="s">
        <v>67</v>
      </c>
      <c r="S39" s="9" t="s">
        <v>157</v>
      </c>
      <c r="T39" s="9" t="s">
        <v>176</v>
      </c>
      <c r="U39" s="9" t="s">
        <v>177</v>
      </c>
      <c r="V39" s="9"/>
      <c r="W39" s="9" t="s">
        <v>32</v>
      </c>
      <c r="X39" s="9" t="s">
        <v>178</v>
      </c>
      <c r="Y39" s="9" t="s">
        <v>179</v>
      </c>
      <c r="Z39" s="3"/>
      <c r="AA39" s="3"/>
    </row>
    <row r="40" spans="1:27" ht="15.75" customHeight="1" x14ac:dyDescent="0.25">
      <c r="A40" s="8">
        <f t="shared" si="6"/>
        <v>45918</v>
      </c>
      <c r="B40" s="9" t="s">
        <v>180</v>
      </c>
      <c r="C40" s="10">
        <v>6402808261</v>
      </c>
      <c r="D40" s="10">
        <v>6693</v>
      </c>
      <c r="E40" s="3" t="s">
        <v>181</v>
      </c>
      <c r="F40" s="9" t="s">
        <v>182</v>
      </c>
      <c r="G40" s="11"/>
      <c r="H40" s="12">
        <v>45915</v>
      </c>
      <c r="I40" s="12">
        <v>45918</v>
      </c>
      <c r="J40" s="11">
        <v>120</v>
      </c>
      <c r="K40" s="3" t="s">
        <v>29</v>
      </c>
      <c r="L40" s="3"/>
      <c r="M40" s="9"/>
      <c r="N40" s="12">
        <f t="shared" si="0"/>
        <v>45932</v>
      </c>
      <c r="O40" s="9">
        <f t="shared" ca="1" si="1"/>
        <v>-83</v>
      </c>
      <c r="P40" s="13" t="str">
        <f t="shared" si="2"/>
        <v>https://secure.booking.com/confirmation.html?bn=6402808261&amp;hc_origin=search&amp;pincode=6693&amp;source=help_center</v>
      </c>
      <c r="Q40" s="9" t="s">
        <v>140</v>
      </c>
      <c r="R40" s="9" t="s">
        <v>182</v>
      </c>
      <c r="S40" s="9" t="s">
        <v>170</v>
      </c>
      <c r="T40" s="9" t="s">
        <v>176</v>
      </c>
      <c r="U40" s="9" t="s">
        <v>183</v>
      </c>
      <c r="V40" s="9"/>
      <c r="W40" s="9" t="s">
        <v>32</v>
      </c>
      <c r="X40" s="9" t="s">
        <v>184</v>
      </c>
      <c r="Y40" s="9" t="s">
        <v>185</v>
      </c>
      <c r="Z40" s="3"/>
      <c r="AA40" s="3"/>
    </row>
    <row r="41" spans="1:27" ht="15.75" customHeight="1" x14ac:dyDescent="0.25">
      <c r="A41" s="8">
        <f t="shared" si="6"/>
        <v>45918</v>
      </c>
      <c r="B41" s="9" t="s">
        <v>186</v>
      </c>
      <c r="C41" s="10">
        <v>6328031115</v>
      </c>
      <c r="D41" s="10">
        <v>3025</v>
      </c>
      <c r="E41" s="3" t="s">
        <v>187</v>
      </c>
      <c r="F41" s="9" t="s">
        <v>188</v>
      </c>
      <c r="G41" s="11"/>
      <c r="H41" s="12">
        <v>45915</v>
      </c>
      <c r="I41" s="12">
        <v>45918</v>
      </c>
      <c r="J41" s="11"/>
      <c r="K41" s="3" t="s">
        <v>36</v>
      </c>
      <c r="L41" s="3"/>
      <c r="M41" s="9"/>
      <c r="N41" s="12">
        <f t="shared" si="0"/>
        <v>45932</v>
      </c>
      <c r="O41" s="9">
        <f t="shared" ca="1" si="1"/>
        <v>-83</v>
      </c>
      <c r="P41" s="13" t="str">
        <f t="shared" si="2"/>
        <v>https://secure.booking.com/confirmation.html?bn=6328031115&amp;hc_origin=search&amp;pincode=3025&amp;source=help_center</v>
      </c>
      <c r="Q41" s="9" t="s">
        <v>71</v>
      </c>
      <c r="R41" s="9" t="s">
        <v>188</v>
      </c>
      <c r="S41" s="9" t="s">
        <v>170</v>
      </c>
      <c r="T41" s="9" t="s">
        <v>176</v>
      </c>
      <c r="U41" s="9"/>
      <c r="V41" s="9"/>
      <c r="W41" s="9" t="s">
        <v>32</v>
      </c>
      <c r="X41" s="9" t="s">
        <v>189</v>
      </c>
      <c r="Y41" s="9" t="s">
        <v>190</v>
      </c>
      <c r="Z41" s="3"/>
      <c r="AA41" s="3"/>
    </row>
    <row r="42" spans="1:27" ht="15.75" customHeight="1" x14ac:dyDescent="0.25">
      <c r="A42" s="8">
        <f t="shared" si="6"/>
        <v>45918</v>
      </c>
      <c r="B42" s="9" t="s">
        <v>191</v>
      </c>
      <c r="C42" s="10">
        <v>5813951839</v>
      </c>
      <c r="D42" s="10">
        <v>4739</v>
      </c>
      <c r="E42" s="3" t="s">
        <v>192</v>
      </c>
      <c r="F42" s="9" t="s">
        <v>193</v>
      </c>
      <c r="G42" s="11"/>
      <c r="H42" s="12">
        <v>45915</v>
      </c>
      <c r="I42" s="12">
        <v>45918</v>
      </c>
      <c r="J42" s="11"/>
      <c r="K42" s="3" t="s">
        <v>36</v>
      </c>
      <c r="L42" s="3"/>
      <c r="M42" s="9"/>
      <c r="N42" s="12">
        <f t="shared" si="0"/>
        <v>45932</v>
      </c>
      <c r="O42" s="9">
        <f t="shared" ca="1" si="1"/>
        <v>-83</v>
      </c>
      <c r="P42" s="13" t="str">
        <f t="shared" si="2"/>
        <v>https://secure.booking.com/confirmation.html?bn=5813951839&amp;hc_origin=search&amp;pincode=4739&amp;source=help_center</v>
      </c>
      <c r="Q42" s="9" t="s">
        <v>71</v>
      </c>
      <c r="R42" s="9" t="s">
        <v>193</v>
      </c>
      <c r="S42" s="9" t="s">
        <v>170</v>
      </c>
      <c r="T42" s="9" t="s">
        <v>176</v>
      </c>
      <c r="U42" s="9"/>
      <c r="V42" s="9"/>
      <c r="W42" s="9" t="s">
        <v>32</v>
      </c>
      <c r="X42" s="9" t="s">
        <v>194</v>
      </c>
      <c r="Y42" s="9" t="s">
        <v>195</v>
      </c>
      <c r="Z42" s="3"/>
      <c r="AA42" s="3"/>
    </row>
    <row r="43" spans="1:27" ht="15.75" customHeight="1" x14ac:dyDescent="0.25">
      <c r="A43" s="8">
        <f t="shared" si="6"/>
        <v>45918</v>
      </c>
      <c r="B43" s="9" t="s">
        <v>196</v>
      </c>
      <c r="C43" s="10">
        <v>6126719995</v>
      </c>
      <c r="D43" s="10">
        <v>16</v>
      </c>
      <c r="E43" s="3" t="s">
        <v>197</v>
      </c>
      <c r="F43" s="9" t="s">
        <v>198</v>
      </c>
      <c r="G43" s="11"/>
      <c r="H43" s="12">
        <v>45916</v>
      </c>
      <c r="I43" s="12">
        <v>45918</v>
      </c>
      <c r="J43" s="11"/>
      <c r="K43" s="3" t="s">
        <v>36</v>
      </c>
      <c r="L43" s="3"/>
      <c r="M43" s="9"/>
      <c r="N43" s="12">
        <f t="shared" si="0"/>
        <v>45932</v>
      </c>
      <c r="O43" s="9">
        <f t="shared" ca="1" si="1"/>
        <v>-83</v>
      </c>
      <c r="P43" s="13" t="str">
        <f t="shared" si="2"/>
        <v>https://secure.booking.com/confirmation.html?bn=6126719995&amp;hc_origin=search&amp;pincode=16&amp;source=help_center</v>
      </c>
      <c r="Q43" s="9" t="s">
        <v>71</v>
      </c>
      <c r="R43" s="9" t="s">
        <v>198</v>
      </c>
      <c r="S43" s="9" t="s">
        <v>158</v>
      </c>
      <c r="T43" s="9" t="s">
        <v>176</v>
      </c>
      <c r="U43" s="9"/>
      <c r="V43" s="9"/>
      <c r="W43" s="9" t="s">
        <v>32</v>
      </c>
      <c r="X43" s="9" t="s">
        <v>199</v>
      </c>
      <c r="Y43" s="9" t="s">
        <v>200</v>
      </c>
      <c r="Z43" s="3"/>
      <c r="AA43" s="3"/>
    </row>
    <row r="44" spans="1:27" ht="15.75" customHeight="1" x14ac:dyDescent="0.25">
      <c r="A44" s="8">
        <f t="shared" si="6"/>
        <v>45918</v>
      </c>
      <c r="B44" s="9" t="s">
        <v>201</v>
      </c>
      <c r="C44" s="10">
        <v>6357772269</v>
      </c>
      <c r="D44" s="10">
        <v>2413</v>
      </c>
      <c r="E44" s="3" t="s">
        <v>202</v>
      </c>
      <c r="F44" s="9" t="s">
        <v>203</v>
      </c>
      <c r="G44" s="11"/>
      <c r="H44" s="12">
        <v>45915</v>
      </c>
      <c r="I44" s="12">
        <v>45919</v>
      </c>
      <c r="J44" s="11"/>
      <c r="K44" s="3" t="s">
        <v>36</v>
      </c>
      <c r="L44" s="3"/>
      <c r="M44" s="9"/>
      <c r="N44" s="12">
        <f t="shared" si="0"/>
        <v>45933</v>
      </c>
      <c r="O44" s="9">
        <f t="shared" ca="1" si="1"/>
        <v>-82</v>
      </c>
      <c r="P44" s="13" t="str">
        <f t="shared" si="2"/>
        <v>https://secure.booking.com/confirmation.html?bn=6357772269&amp;hc_origin=search&amp;pincode=2413&amp;source=help_center</v>
      </c>
      <c r="Q44" s="9" t="s">
        <v>71</v>
      </c>
      <c r="R44" s="9" t="s">
        <v>203</v>
      </c>
      <c r="S44" s="9" t="s">
        <v>170</v>
      </c>
      <c r="T44" s="9" t="s">
        <v>204</v>
      </c>
      <c r="U44" s="9"/>
      <c r="V44" s="9"/>
      <c r="W44" s="9" t="s">
        <v>32</v>
      </c>
      <c r="X44" s="9" t="s">
        <v>205</v>
      </c>
      <c r="Y44" s="9" t="s">
        <v>206</v>
      </c>
      <c r="Z44" s="3"/>
      <c r="AA44" s="3"/>
    </row>
    <row r="45" spans="1:27" ht="15.75" customHeight="1" x14ac:dyDescent="0.25">
      <c r="A45" s="8">
        <f t="shared" si="6"/>
        <v>45919</v>
      </c>
      <c r="B45" s="9" t="s">
        <v>207</v>
      </c>
      <c r="C45" s="10">
        <v>5817839814</v>
      </c>
      <c r="D45" s="10">
        <v>8201</v>
      </c>
      <c r="E45" s="3" t="s">
        <v>208</v>
      </c>
      <c r="F45" s="9" t="s">
        <v>209</v>
      </c>
      <c r="G45" s="11"/>
      <c r="H45" s="12">
        <v>45916</v>
      </c>
      <c r="I45" s="12">
        <v>45919</v>
      </c>
      <c r="J45" s="11"/>
      <c r="K45" s="3" t="s">
        <v>36</v>
      </c>
      <c r="L45" s="3"/>
      <c r="M45" s="9"/>
      <c r="N45" s="12">
        <f t="shared" si="0"/>
        <v>45933</v>
      </c>
      <c r="O45" s="9">
        <f t="shared" ca="1" si="1"/>
        <v>-82</v>
      </c>
      <c r="P45" s="13" t="str">
        <f t="shared" si="2"/>
        <v>https://secure.booking.com/confirmation.html?bn=5817839814&amp;hc_origin=search&amp;pincode=8201&amp;source=help_center</v>
      </c>
      <c r="Q45" s="9" t="s">
        <v>71</v>
      </c>
      <c r="R45" s="9" t="s">
        <v>209</v>
      </c>
      <c r="S45" s="9" t="s">
        <v>158</v>
      </c>
      <c r="T45" s="9" t="s">
        <v>204</v>
      </c>
      <c r="U45" s="9"/>
      <c r="V45" s="9"/>
      <c r="W45" s="9" t="s">
        <v>32</v>
      </c>
      <c r="X45" s="9" t="s">
        <v>210</v>
      </c>
      <c r="Y45" s="9" t="s">
        <v>211</v>
      </c>
      <c r="Z45" s="3"/>
      <c r="AA45" s="3"/>
    </row>
    <row r="46" spans="1:27" ht="15.75" customHeight="1" x14ac:dyDescent="0.25">
      <c r="A46" s="8">
        <f t="shared" si="6"/>
        <v>45919</v>
      </c>
      <c r="B46" s="9" t="s">
        <v>212</v>
      </c>
      <c r="C46" s="10">
        <v>5362064681</v>
      </c>
      <c r="D46" s="10">
        <v>6412</v>
      </c>
      <c r="E46" s="3" t="s">
        <v>213</v>
      </c>
      <c r="F46" s="9" t="s">
        <v>214</v>
      </c>
      <c r="G46" s="11"/>
      <c r="H46" s="12">
        <v>45915</v>
      </c>
      <c r="I46" s="12">
        <v>45920</v>
      </c>
      <c r="J46" s="11"/>
      <c r="K46" s="3" t="s">
        <v>36</v>
      </c>
      <c r="L46" s="3"/>
      <c r="M46" s="9"/>
      <c r="N46" s="12">
        <f t="shared" si="0"/>
        <v>45934</v>
      </c>
      <c r="O46" s="9">
        <f t="shared" ca="1" si="1"/>
        <v>-81</v>
      </c>
      <c r="P46" s="13" t="str">
        <f t="shared" si="2"/>
        <v>https://secure.booking.com/confirmation.html?bn=5362064681&amp;hc_origin=search&amp;pincode=6412&amp;source=help_center</v>
      </c>
      <c r="Q46" s="9" t="s">
        <v>71</v>
      </c>
      <c r="R46" s="9" t="s">
        <v>214</v>
      </c>
      <c r="S46" s="9" t="s">
        <v>170</v>
      </c>
      <c r="T46" s="9" t="s">
        <v>215</v>
      </c>
      <c r="U46" s="9"/>
      <c r="V46" s="9"/>
      <c r="W46" s="9" t="s">
        <v>32</v>
      </c>
      <c r="X46" s="9" t="s">
        <v>216</v>
      </c>
      <c r="Y46" s="9" t="s">
        <v>217</v>
      </c>
      <c r="Z46" s="3"/>
      <c r="AA46" s="3"/>
    </row>
    <row r="47" spans="1:27" ht="15.75" customHeight="1" x14ac:dyDescent="0.25">
      <c r="A47" s="8">
        <f t="shared" si="6"/>
        <v>45920</v>
      </c>
      <c r="B47" s="9" t="s">
        <v>218</v>
      </c>
      <c r="C47" s="10">
        <v>5260633192</v>
      </c>
      <c r="D47" s="10">
        <v>608</v>
      </c>
      <c r="E47" s="3" t="s">
        <v>219</v>
      </c>
      <c r="F47" s="9" t="s">
        <v>220</v>
      </c>
      <c r="G47" s="11"/>
      <c r="H47" s="12">
        <v>45916</v>
      </c>
      <c r="I47" s="12">
        <v>45920</v>
      </c>
      <c r="J47" s="11"/>
      <c r="K47" s="3" t="s">
        <v>36</v>
      </c>
      <c r="L47" s="3"/>
      <c r="M47" s="9"/>
      <c r="N47" s="12">
        <f t="shared" si="0"/>
        <v>45934</v>
      </c>
      <c r="O47" s="9">
        <f t="shared" ca="1" si="1"/>
        <v>-81</v>
      </c>
      <c r="P47" s="13" t="str">
        <f t="shared" si="2"/>
        <v>https://secure.booking.com/confirmation.html?bn=5260633192&amp;hc_origin=search&amp;pincode=608&amp;source=help_center</v>
      </c>
      <c r="Q47" s="9" t="s">
        <v>71</v>
      </c>
      <c r="R47" s="9" t="s">
        <v>220</v>
      </c>
      <c r="S47" s="9" t="s">
        <v>158</v>
      </c>
      <c r="T47" s="9" t="s">
        <v>215</v>
      </c>
      <c r="U47" s="9"/>
      <c r="V47" s="9"/>
      <c r="W47" s="9" t="s">
        <v>32</v>
      </c>
      <c r="X47" s="9" t="s">
        <v>221</v>
      </c>
      <c r="Y47" s="9" t="s">
        <v>222</v>
      </c>
      <c r="Z47" s="3"/>
      <c r="AA47" s="3"/>
    </row>
    <row r="48" spans="1:27" ht="15.75" customHeight="1" x14ac:dyDescent="0.25">
      <c r="A48" s="8">
        <f t="shared" si="6"/>
        <v>45920</v>
      </c>
      <c r="B48" s="9" t="s">
        <v>223</v>
      </c>
      <c r="C48" s="10">
        <v>6062354528</v>
      </c>
      <c r="D48" s="10">
        <v>8714</v>
      </c>
      <c r="E48" s="3" t="s">
        <v>100</v>
      </c>
      <c r="F48" s="9" t="s">
        <v>101</v>
      </c>
      <c r="G48" s="11"/>
      <c r="H48" s="12">
        <v>45916</v>
      </c>
      <c r="I48" s="12">
        <v>45920</v>
      </c>
      <c r="J48" s="11"/>
      <c r="K48" s="3" t="s">
        <v>36</v>
      </c>
      <c r="L48" s="3"/>
      <c r="M48" s="9"/>
      <c r="N48" s="12">
        <f t="shared" si="0"/>
        <v>45934</v>
      </c>
      <c r="O48" s="9">
        <f t="shared" ca="1" si="1"/>
        <v>-81</v>
      </c>
      <c r="P48" s="13" t="str">
        <f t="shared" si="2"/>
        <v>https://secure.booking.com/confirmation.html?bn=6062354528&amp;hc_origin=search&amp;pincode=8714&amp;source=help_center</v>
      </c>
      <c r="Q48" s="9" t="s">
        <v>71</v>
      </c>
      <c r="R48" s="9"/>
      <c r="S48" s="9" t="s">
        <v>164</v>
      </c>
      <c r="T48" s="9" t="s">
        <v>224</v>
      </c>
      <c r="U48" s="9"/>
      <c r="V48" s="9"/>
      <c r="W48" s="9" t="s">
        <v>32</v>
      </c>
      <c r="X48" s="9" t="s">
        <v>225</v>
      </c>
      <c r="Y48" s="9" t="s">
        <v>226</v>
      </c>
      <c r="Z48" s="3"/>
      <c r="AA48" s="3"/>
    </row>
    <row r="49" spans="1:27" ht="15.75" customHeight="1" x14ac:dyDescent="0.25">
      <c r="A49" s="8">
        <f t="shared" si="6"/>
        <v>45920</v>
      </c>
      <c r="B49" s="9" t="s">
        <v>227</v>
      </c>
      <c r="C49" s="10">
        <v>6088854248</v>
      </c>
      <c r="D49" s="10">
        <v>3841</v>
      </c>
      <c r="E49" s="3" t="s">
        <v>228</v>
      </c>
      <c r="F49" s="9" t="s">
        <v>229</v>
      </c>
      <c r="G49" s="11"/>
      <c r="H49" s="12">
        <v>45916</v>
      </c>
      <c r="I49" s="12">
        <v>45920</v>
      </c>
      <c r="J49" s="11"/>
      <c r="K49" s="3" t="s">
        <v>36</v>
      </c>
      <c r="L49" s="3"/>
      <c r="M49" s="9"/>
      <c r="N49" s="12">
        <f t="shared" si="0"/>
        <v>45934</v>
      </c>
      <c r="O49" s="9">
        <f t="shared" ca="1" si="1"/>
        <v>-81</v>
      </c>
      <c r="P49" s="13" t="str">
        <f t="shared" si="2"/>
        <v>https://secure.booking.com/confirmation.html?bn=6088854248&amp;hc_origin=search&amp;pincode=3841&amp;source=help_center</v>
      </c>
      <c r="Q49" s="9" t="s">
        <v>71</v>
      </c>
      <c r="R49" s="9" t="s">
        <v>229</v>
      </c>
      <c r="S49" s="9" t="s">
        <v>158</v>
      </c>
      <c r="T49" s="9" t="s">
        <v>215</v>
      </c>
      <c r="U49" s="9"/>
      <c r="V49" s="9"/>
      <c r="W49" s="9" t="s">
        <v>32</v>
      </c>
      <c r="X49" s="9" t="s">
        <v>230</v>
      </c>
      <c r="Y49" s="9" t="s">
        <v>231</v>
      </c>
      <c r="Z49" s="3"/>
      <c r="AA49" s="3"/>
    </row>
    <row r="50" spans="1:27" ht="15.75" customHeight="1" x14ac:dyDescent="0.25">
      <c r="A50" s="8">
        <f t="shared" si="6"/>
        <v>45920</v>
      </c>
      <c r="B50" s="9" t="s">
        <v>232</v>
      </c>
      <c r="C50" s="10">
        <v>6013813447</v>
      </c>
      <c r="D50" s="10">
        <v>4505</v>
      </c>
      <c r="E50" s="3" t="s">
        <v>233</v>
      </c>
      <c r="F50" s="9" t="s">
        <v>234</v>
      </c>
      <c r="G50" s="11"/>
      <c r="H50" s="12">
        <v>45918</v>
      </c>
      <c r="I50" s="12">
        <v>45920</v>
      </c>
      <c r="J50" s="11">
        <v>120</v>
      </c>
      <c r="K50" s="3" t="s">
        <v>29</v>
      </c>
      <c r="L50" s="3"/>
      <c r="M50" s="9"/>
      <c r="N50" s="12">
        <f t="shared" si="0"/>
        <v>45934</v>
      </c>
      <c r="O50" s="9">
        <f t="shared" ca="1" si="1"/>
        <v>-81</v>
      </c>
      <c r="P50" s="13" t="str">
        <f t="shared" si="2"/>
        <v>https://secure.booking.com/confirmation.html?bn=6013813447&amp;hc_origin=search&amp;pincode=4505&amp;source=help_center</v>
      </c>
      <c r="Q50" s="9" t="s">
        <v>140</v>
      </c>
      <c r="R50" s="9" t="s">
        <v>234</v>
      </c>
      <c r="S50" s="9" t="s">
        <v>176</v>
      </c>
      <c r="T50" s="9" t="s">
        <v>215</v>
      </c>
      <c r="U50" s="9" t="s">
        <v>183</v>
      </c>
      <c r="V50" s="9"/>
      <c r="W50" s="9" t="s">
        <v>32</v>
      </c>
      <c r="X50" s="9" t="s">
        <v>235</v>
      </c>
      <c r="Y50" s="9" t="s">
        <v>236</v>
      </c>
      <c r="Z50" s="3"/>
      <c r="AA50" s="3"/>
    </row>
    <row r="51" spans="1:27" ht="15.75" customHeight="1" x14ac:dyDescent="0.25">
      <c r="A51" s="8">
        <f t="shared" si="6"/>
        <v>45920</v>
      </c>
      <c r="B51" s="9" t="s">
        <v>237</v>
      </c>
      <c r="C51" s="10">
        <v>6756282965</v>
      </c>
      <c r="D51" s="10">
        <v>9577</v>
      </c>
      <c r="E51" s="3" t="s">
        <v>238</v>
      </c>
      <c r="F51" s="9" t="s">
        <v>239</v>
      </c>
      <c r="G51" s="11"/>
      <c r="H51" s="12">
        <v>45916</v>
      </c>
      <c r="I51" s="12">
        <v>45921</v>
      </c>
      <c r="J51" s="11">
        <v>84.3</v>
      </c>
      <c r="K51" s="3" t="s">
        <v>29</v>
      </c>
      <c r="L51" s="3"/>
      <c r="M51" s="9"/>
      <c r="N51" s="12">
        <f t="shared" si="0"/>
        <v>45935</v>
      </c>
      <c r="O51" s="9">
        <f t="shared" ca="1" si="1"/>
        <v>-80</v>
      </c>
      <c r="P51" s="13" t="str">
        <f t="shared" si="2"/>
        <v>https://secure.booking.com/confirmation.html?bn=6756282965&amp;hc_origin=search&amp;pincode=9577&amp;source=help_center</v>
      </c>
      <c r="Q51" s="9" t="s">
        <v>140</v>
      </c>
      <c r="R51" s="9" t="s">
        <v>239</v>
      </c>
      <c r="S51" s="9" t="s">
        <v>158</v>
      </c>
      <c r="T51" s="9" t="s">
        <v>240</v>
      </c>
      <c r="U51" s="9" t="s">
        <v>241</v>
      </c>
      <c r="V51" s="9"/>
      <c r="W51" s="9" t="s">
        <v>32</v>
      </c>
      <c r="X51" s="9" t="s">
        <v>242</v>
      </c>
      <c r="Y51" s="9" t="s">
        <v>243</v>
      </c>
      <c r="Z51" s="3"/>
      <c r="AA51" s="3"/>
    </row>
    <row r="52" spans="1:27" ht="15.75" customHeight="1" x14ac:dyDescent="0.25">
      <c r="A52" s="8">
        <f t="shared" si="6"/>
        <v>45921</v>
      </c>
      <c r="B52" s="9" t="s">
        <v>244</v>
      </c>
      <c r="C52" s="10">
        <v>6817397014</v>
      </c>
      <c r="D52" s="10">
        <v>3793</v>
      </c>
      <c r="E52" s="3" t="s">
        <v>245</v>
      </c>
      <c r="F52" s="9" t="s">
        <v>246</v>
      </c>
      <c r="G52" s="11"/>
      <c r="H52" s="12">
        <v>45918</v>
      </c>
      <c r="I52" s="12">
        <v>45921</v>
      </c>
      <c r="J52" s="11">
        <v>100</v>
      </c>
      <c r="K52" s="3" t="s">
        <v>29</v>
      </c>
      <c r="L52" s="3"/>
      <c r="M52" s="9"/>
      <c r="N52" s="12">
        <f t="shared" si="0"/>
        <v>45935</v>
      </c>
      <c r="O52" s="9">
        <f t="shared" ca="1" si="1"/>
        <v>-80</v>
      </c>
      <c r="P52" s="13" t="str">
        <f t="shared" si="2"/>
        <v>https://secure.booking.com/confirmation.html?bn=6817397014&amp;hc_origin=search&amp;pincode=3793&amp;source=help_center</v>
      </c>
      <c r="Q52" s="9" t="s">
        <v>140</v>
      </c>
      <c r="R52" s="9" t="s">
        <v>246</v>
      </c>
      <c r="S52" s="9" t="s">
        <v>176</v>
      </c>
      <c r="T52" s="9" t="s">
        <v>240</v>
      </c>
      <c r="U52" s="9"/>
      <c r="V52" s="9"/>
      <c r="W52" s="9" t="s">
        <v>32</v>
      </c>
      <c r="X52" s="9" t="s">
        <v>247</v>
      </c>
      <c r="Y52" s="9" t="s">
        <v>248</v>
      </c>
      <c r="Z52" s="3"/>
      <c r="AA52" s="3"/>
    </row>
    <row r="53" spans="1:27" ht="15.75" customHeight="1" x14ac:dyDescent="0.25">
      <c r="A53" s="8">
        <f t="shared" si="6"/>
        <v>45921</v>
      </c>
      <c r="B53" s="9" t="s">
        <v>249</v>
      </c>
      <c r="C53" s="10">
        <v>6957704458</v>
      </c>
      <c r="D53" s="10">
        <v>7333</v>
      </c>
      <c r="E53" s="3" t="s">
        <v>60</v>
      </c>
      <c r="F53" s="9" t="s">
        <v>61</v>
      </c>
      <c r="G53" s="11"/>
      <c r="H53" s="12">
        <v>46019</v>
      </c>
      <c r="I53" s="12">
        <v>45924</v>
      </c>
      <c r="J53" s="11"/>
      <c r="K53" s="3" t="s">
        <v>36</v>
      </c>
      <c r="L53" s="3"/>
      <c r="M53" s="9"/>
      <c r="N53" s="12">
        <f t="shared" si="0"/>
        <v>45938</v>
      </c>
      <c r="O53" s="9">
        <f t="shared" ca="1" si="1"/>
        <v>-77</v>
      </c>
      <c r="P53" s="13" t="str">
        <f t="shared" si="2"/>
        <v>https://secure.booking.com/confirmation.html?bn=6957704458&amp;hc_origin=search&amp;pincode=7333&amp;source=help_center</v>
      </c>
      <c r="Q53" s="9" t="s">
        <v>71</v>
      </c>
      <c r="R53" s="9" t="s">
        <v>61</v>
      </c>
      <c r="S53" s="9" t="s">
        <v>250</v>
      </c>
      <c r="T53" s="9" t="s">
        <v>251</v>
      </c>
      <c r="U53" s="9" t="s">
        <v>252</v>
      </c>
      <c r="V53" s="9"/>
      <c r="W53" s="9" t="s">
        <v>32</v>
      </c>
      <c r="X53" s="9" t="s">
        <v>253</v>
      </c>
      <c r="Y53" s="9" t="s">
        <v>254</v>
      </c>
      <c r="Z53" s="3"/>
      <c r="AA53" s="3"/>
    </row>
    <row r="54" spans="1:27" ht="15.75" customHeight="1" x14ac:dyDescent="0.25">
      <c r="A54" s="8">
        <f t="shared" si="6"/>
        <v>45924</v>
      </c>
      <c r="B54" s="9" t="s">
        <v>255</v>
      </c>
      <c r="C54" s="10">
        <v>6814593583</v>
      </c>
      <c r="D54" s="10">
        <v>3184</v>
      </c>
      <c r="E54" s="3" t="s">
        <v>256</v>
      </c>
      <c r="F54" s="9" t="s">
        <v>257</v>
      </c>
      <c r="G54" s="11"/>
      <c r="H54" s="12">
        <v>46003</v>
      </c>
      <c r="I54" s="12">
        <v>45926</v>
      </c>
      <c r="J54" s="11"/>
      <c r="K54" s="3" t="s">
        <v>36</v>
      </c>
      <c r="L54" s="3"/>
      <c r="M54" s="9"/>
      <c r="N54" s="12">
        <f t="shared" si="0"/>
        <v>45940</v>
      </c>
      <c r="O54" s="9">
        <f t="shared" ca="1" si="1"/>
        <v>-75</v>
      </c>
      <c r="P54" s="13" t="str">
        <f t="shared" si="2"/>
        <v>https://secure.booking.com/confirmation.html?bn=6814593583&amp;hc_origin=search&amp;pincode=3184&amp;source=help_center</v>
      </c>
      <c r="Q54" s="9" t="s">
        <v>71</v>
      </c>
      <c r="R54" s="9" t="s">
        <v>257</v>
      </c>
      <c r="S54" s="9" t="s">
        <v>250</v>
      </c>
      <c r="T54" s="9" t="s">
        <v>258</v>
      </c>
      <c r="U54" s="9"/>
      <c r="V54" s="9"/>
      <c r="W54" s="9" t="s">
        <v>32</v>
      </c>
      <c r="X54" s="9" t="s">
        <v>259</v>
      </c>
      <c r="Y54" s="9" t="s">
        <v>260</v>
      </c>
      <c r="Z54" s="3"/>
      <c r="AA54" s="3"/>
    </row>
    <row r="55" spans="1:27" ht="15.75" customHeight="1" x14ac:dyDescent="0.25">
      <c r="A55" s="8">
        <f t="shared" si="6"/>
        <v>45926</v>
      </c>
      <c r="B55" s="9" t="s">
        <v>261</v>
      </c>
      <c r="C55" s="10">
        <v>6069148301</v>
      </c>
      <c r="D55" s="10">
        <v>1304</v>
      </c>
      <c r="E55" s="3" t="s">
        <v>262</v>
      </c>
      <c r="F55" s="9" t="s">
        <v>263</v>
      </c>
      <c r="G55" s="11"/>
      <c r="H55" s="12">
        <v>46020</v>
      </c>
      <c r="I55" s="12">
        <v>45926</v>
      </c>
      <c r="J55" s="11"/>
      <c r="K55" s="3" t="s">
        <v>36</v>
      </c>
      <c r="L55" s="3"/>
      <c r="M55" s="9"/>
      <c r="N55" s="12">
        <f t="shared" si="0"/>
        <v>45940</v>
      </c>
      <c r="O55" s="9">
        <f t="shared" ca="1" si="1"/>
        <v>-75</v>
      </c>
      <c r="P55" s="13" t="str">
        <f t="shared" si="2"/>
        <v>https://secure.booking.com/confirmation.html?bn=6069148301&amp;hc_origin=search&amp;pincode=1304&amp;source=help_center</v>
      </c>
      <c r="Q55" s="9" t="s">
        <v>71</v>
      </c>
      <c r="R55" s="9" t="s">
        <v>263</v>
      </c>
      <c r="S55" s="9" t="s">
        <v>250</v>
      </c>
      <c r="T55" s="9" t="s">
        <v>258</v>
      </c>
      <c r="U55" s="9"/>
      <c r="V55" s="9"/>
      <c r="W55" s="9" t="s">
        <v>32</v>
      </c>
      <c r="X55" s="9" t="s">
        <v>264</v>
      </c>
      <c r="Y55" s="9" t="s">
        <v>265</v>
      </c>
      <c r="Z55" s="3"/>
      <c r="AA55" s="3"/>
    </row>
    <row r="56" spans="1:27" ht="15.75" customHeight="1" x14ac:dyDescent="0.25">
      <c r="A56" s="8">
        <f t="shared" si="6"/>
        <v>45926</v>
      </c>
      <c r="B56" s="9" t="s">
        <v>167</v>
      </c>
      <c r="C56" s="10">
        <v>5316985076</v>
      </c>
      <c r="D56" s="10">
        <v>6698</v>
      </c>
      <c r="E56" s="3" t="s">
        <v>168</v>
      </c>
      <c r="F56" s="9" t="s">
        <v>169</v>
      </c>
      <c r="G56" s="11"/>
      <c r="H56" s="12">
        <v>45924</v>
      </c>
      <c r="I56" s="12">
        <v>45927</v>
      </c>
      <c r="J56" s="11">
        <v>120</v>
      </c>
      <c r="K56" s="3" t="s">
        <v>29</v>
      </c>
      <c r="L56" s="3"/>
      <c r="M56" s="9"/>
      <c r="N56" s="12">
        <f t="shared" si="0"/>
        <v>45941</v>
      </c>
      <c r="O56" s="9">
        <f t="shared" ca="1" si="1"/>
        <v>-74</v>
      </c>
      <c r="P56" s="13" t="str">
        <f t="shared" si="2"/>
        <v>https://secure.booking.com/confirmation.html?bn=5316985076&amp;hc_origin=search&amp;pincode=6698&amp;source=help_center</v>
      </c>
      <c r="Q56" s="9" t="s">
        <v>140</v>
      </c>
      <c r="R56" s="9" t="s">
        <v>169</v>
      </c>
      <c r="S56" s="9" t="s">
        <v>251</v>
      </c>
      <c r="T56" s="9" t="s">
        <v>266</v>
      </c>
      <c r="U56" s="9" t="s">
        <v>183</v>
      </c>
      <c r="V56" s="9"/>
      <c r="W56" s="9" t="s">
        <v>32</v>
      </c>
      <c r="X56" s="9" t="s">
        <v>267</v>
      </c>
      <c r="Y56" s="9" t="s">
        <v>268</v>
      </c>
      <c r="Z56" s="3"/>
      <c r="AA56" s="3"/>
    </row>
    <row r="57" spans="1:27" ht="15.75" customHeight="1" x14ac:dyDescent="0.25">
      <c r="A57" s="8">
        <f t="shared" si="6"/>
        <v>45927</v>
      </c>
      <c r="B57" s="9" t="s">
        <v>196</v>
      </c>
      <c r="C57" s="10">
        <v>6838082786</v>
      </c>
      <c r="D57" s="10">
        <v>78</v>
      </c>
      <c r="E57" s="3" t="s">
        <v>197</v>
      </c>
      <c r="F57" s="9" t="s">
        <v>198</v>
      </c>
      <c r="G57" s="11"/>
      <c r="H57" s="12">
        <v>45925</v>
      </c>
      <c r="I57" s="12">
        <v>45927</v>
      </c>
      <c r="J57" s="11"/>
      <c r="K57" s="3" t="s">
        <v>36</v>
      </c>
      <c r="L57" s="3"/>
      <c r="M57" s="9"/>
      <c r="N57" s="12">
        <f t="shared" si="0"/>
        <v>45941</v>
      </c>
      <c r="O57" s="9">
        <f t="shared" ca="1" si="1"/>
        <v>-74</v>
      </c>
      <c r="P57" s="13" t="str">
        <f t="shared" si="2"/>
        <v>https://secure.booking.com/confirmation.html?bn=6838082786&amp;hc_origin=search&amp;pincode=78&amp;source=help_center</v>
      </c>
      <c r="Q57" s="9" t="s">
        <v>71</v>
      </c>
      <c r="R57" s="9" t="s">
        <v>198</v>
      </c>
      <c r="S57" s="9" t="s">
        <v>269</v>
      </c>
      <c r="T57" s="9" t="s">
        <v>266</v>
      </c>
      <c r="U57" s="9"/>
      <c r="V57" s="9"/>
      <c r="W57" s="9" t="s">
        <v>32</v>
      </c>
      <c r="X57" s="9" t="s">
        <v>270</v>
      </c>
      <c r="Y57" s="9" t="s">
        <v>271</v>
      </c>
      <c r="Z57" s="3"/>
      <c r="AA57" s="3"/>
    </row>
    <row r="58" spans="1:27" ht="15.75" customHeight="1" x14ac:dyDescent="0.25">
      <c r="A58" s="8">
        <f t="shared" si="6"/>
        <v>45927</v>
      </c>
      <c r="B58" s="9" t="s">
        <v>232</v>
      </c>
      <c r="C58" s="10">
        <v>5251399868</v>
      </c>
      <c r="D58" s="10">
        <v>9080</v>
      </c>
      <c r="E58" s="3" t="s">
        <v>233</v>
      </c>
      <c r="F58" s="9" t="s">
        <v>234</v>
      </c>
      <c r="G58" s="11"/>
      <c r="H58" s="12">
        <v>45925</v>
      </c>
      <c r="I58" s="12">
        <v>45927</v>
      </c>
      <c r="J58" s="11">
        <v>115</v>
      </c>
      <c r="K58" s="3" t="s">
        <v>29</v>
      </c>
      <c r="L58" s="3"/>
      <c r="M58" s="9"/>
      <c r="N58" s="12">
        <f t="shared" si="0"/>
        <v>45941</v>
      </c>
      <c r="O58" s="9">
        <f t="shared" ca="1" si="1"/>
        <v>-74</v>
      </c>
      <c r="P58" s="13" t="str">
        <f t="shared" si="2"/>
        <v>https://secure.booking.com/confirmation.html?bn=5251399868&amp;hc_origin=search&amp;pincode=9080&amp;source=help_center</v>
      </c>
      <c r="Q58" s="9" t="s">
        <v>140</v>
      </c>
      <c r="R58" s="9" t="s">
        <v>234</v>
      </c>
      <c r="S58" s="9" t="s">
        <v>269</v>
      </c>
      <c r="T58" s="9" t="s">
        <v>266</v>
      </c>
      <c r="U58" s="9" t="s">
        <v>272</v>
      </c>
      <c r="V58" s="9"/>
      <c r="W58" s="9" t="s">
        <v>32</v>
      </c>
      <c r="X58" s="9" t="s">
        <v>273</v>
      </c>
      <c r="Y58" s="9" t="s">
        <v>274</v>
      </c>
      <c r="Z58" s="3"/>
      <c r="AA58" s="3"/>
    </row>
    <row r="59" spans="1:27" ht="15.75" customHeight="1" x14ac:dyDescent="0.25">
      <c r="A59" s="8">
        <f t="shared" si="6"/>
        <v>45927</v>
      </c>
      <c r="B59" s="9" t="s">
        <v>275</v>
      </c>
      <c r="C59" s="10">
        <v>6499225702</v>
      </c>
      <c r="D59" s="10">
        <v>7070</v>
      </c>
      <c r="E59" s="3" t="s">
        <v>276</v>
      </c>
      <c r="F59" s="9" t="s">
        <v>277</v>
      </c>
      <c r="G59" s="11"/>
      <c r="H59" s="12">
        <v>46005</v>
      </c>
      <c r="I59" s="12">
        <v>45928</v>
      </c>
      <c r="J59" s="11">
        <v>51.34</v>
      </c>
      <c r="K59" s="3" t="s">
        <v>29</v>
      </c>
      <c r="L59" s="3"/>
      <c r="M59" s="9"/>
      <c r="N59" s="12">
        <f t="shared" si="0"/>
        <v>45942</v>
      </c>
      <c r="O59" s="9">
        <f t="shared" ca="1" si="1"/>
        <v>-73</v>
      </c>
      <c r="P59" s="13" t="str">
        <f t="shared" si="2"/>
        <v>https://secure.booking.com/confirmation.html?bn=6499225702&amp;hc_origin=search&amp;pincode=7070&amp;source=help_center</v>
      </c>
      <c r="Q59" s="9" t="s">
        <v>140</v>
      </c>
      <c r="R59" s="9" t="s">
        <v>277</v>
      </c>
      <c r="S59" s="9" t="s">
        <v>250</v>
      </c>
      <c r="T59" s="9" t="s">
        <v>278</v>
      </c>
      <c r="U59" s="9" t="s">
        <v>279</v>
      </c>
      <c r="V59" s="9"/>
      <c r="W59" s="9" t="s">
        <v>32</v>
      </c>
      <c r="X59" s="9" t="s">
        <v>280</v>
      </c>
      <c r="Y59" s="9" t="s">
        <v>281</v>
      </c>
      <c r="Z59" s="3"/>
      <c r="AA59" s="3"/>
    </row>
    <row r="60" spans="1:27" ht="15.75" customHeight="1" x14ac:dyDescent="0.25">
      <c r="A60" s="8">
        <f t="shared" si="6"/>
        <v>45928</v>
      </c>
      <c r="B60" s="9" t="s">
        <v>154</v>
      </c>
      <c r="C60" s="10">
        <v>5736545520</v>
      </c>
      <c r="D60" s="10">
        <v>6886</v>
      </c>
      <c r="E60" s="3" t="s">
        <v>155</v>
      </c>
      <c r="F60" s="9" t="s">
        <v>156</v>
      </c>
      <c r="G60" s="11"/>
      <c r="H60" s="12">
        <v>45924</v>
      </c>
      <c r="I60" s="12">
        <v>45928</v>
      </c>
      <c r="J60" s="11">
        <v>117.91</v>
      </c>
      <c r="K60" s="3" t="s">
        <v>29</v>
      </c>
      <c r="L60" s="3"/>
      <c r="M60" s="9"/>
      <c r="N60" s="12">
        <f t="shared" si="0"/>
        <v>45942</v>
      </c>
      <c r="O60" s="9">
        <f t="shared" ca="1" si="1"/>
        <v>-73</v>
      </c>
      <c r="P60" s="13" t="str">
        <f t="shared" si="2"/>
        <v>https://secure.booking.com/confirmation.html?bn=5736545520&amp;hc_origin=search&amp;pincode=6886&amp;source=help_center</v>
      </c>
      <c r="Q60" s="9" t="s">
        <v>140</v>
      </c>
      <c r="R60" s="9" t="s">
        <v>156</v>
      </c>
      <c r="S60" s="9" t="s">
        <v>251</v>
      </c>
      <c r="T60" s="9" t="s">
        <v>278</v>
      </c>
      <c r="U60" s="9" t="s">
        <v>282</v>
      </c>
      <c r="V60" s="9"/>
      <c r="W60" s="9" t="s">
        <v>32</v>
      </c>
      <c r="X60" s="9" t="s">
        <v>283</v>
      </c>
      <c r="Y60" s="9" t="s">
        <v>284</v>
      </c>
      <c r="Z60" s="3"/>
      <c r="AA60" s="3"/>
    </row>
    <row r="61" spans="1:27" ht="15.75" customHeight="1" x14ac:dyDescent="0.25">
      <c r="A61" s="8">
        <f t="shared" si="6"/>
        <v>45928</v>
      </c>
      <c r="B61" s="9" t="s">
        <v>175</v>
      </c>
      <c r="C61" s="10">
        <v>5633521110</v>
      </c>
      <c r="D61" s="10">
        <v>6340</v>
      </c>
      <c r="E61" s="3" t="s">
        <v>73</v>
      </c>
      <c r="F61" s="9" t="s">
        <v>74</v>
      </c>
      <c r="G61" s="11"/>
      <c r="H61" s="12">
        <v>45925</v>
      </c>
      <c r="I61" s="12">
        <v>45928</v>
      </c>
      <c r="J61" s="11">
        <v>120</v>
      </c>
      <c r="K61" s="3" t="s">
        <v>29</v>
      </c>
      <c r="L61" s="3"/>
      <c r="M61" s="9"/>
      <c r="N61" s="12">
        <f t="shared" si="0"/>
        <v>45942</v>
      </c>
      <c r="O61" s="9">
        <f t="shared" ca="1" si="1"/>
        <v>-73</v>
      </c>
      <c r="P61" s="13" t="str">
        <f t="shared" si="2"/>
        <v>https://secure.booking.com/confirmation.html?bn=5633521110&amp;hc_origin=search&amp;pincode=6340&amp;source=help_center</v>
      </c>
      <c r="Q61" s="9" t="s">
        <v>140</v>
      </c>
      <c r="R61" s="9" t="s">
        <v>74</v>
      </c>
      <c r="S61" s="9" t="s">
        <v>269</v>
      </c>
      <c r="T61" s="9" t="s">
        <v>278</v>
      </c>
      <c r="U61" s="9" t="s">
        <v>183</v>
      </c>
      <c r="V61" s="9"/>
      <c r="W61" s="9" t="s">
        <v>32</v>
      </c>
      <c r="X61" s="9" t="s">
        <v>285</v>
      </c>
      <c r="Y61" s="9" t="s">
        <v>286</v>
      </c>
      <c r="Z61" s="3"/>
      <c r="AA61" s="3"/>
    </row>
    <row r="62" spans="1:27" ht="15.75" customHeight="1" x14ac:dyDescent="0.25">
      <c r="A62" s="8">
        <f t="shared" si="6"/>
        <v>45928</v>
      </c>
      <c r="B62" s="9" t="s">
        <v>180</v>
      </c>
      <c r="C62" s="10">
        <v>6710910656</v>
      </c>
      <c r="D62" s="10">
        <v>875</v>
      </c>
      <c r="E62" s="3" t="s">
        <v>181</v>
      </c>
      <c r="F62" s="9" t="s">
        <v>182</v>
      </c>
      <c r="G62" s="11"/>
      <c r="H62" s="12">
        <v>45925</v>
      </c>
      <c r="I62" s="12">
        <v>45928</v>
      </c>
      <c r="J62" s="11">
        <v>120</v>
      </c>
      <c r="K62" s="3" t="s">
        <v>29</v>
      </c>
      <c r="L62" s="3"/>
      <c r="M62" s="9"/>
      <c r="N62" s="12">
        <f t="shared" si="0"/>
        <v>45942</v>
      </c>
      <c r="O62" s="9">
        <f t="shared" ca="1" si="1"/>
        <v>-73</v>
      </c>
      <c r="P62" s="13" t="str">
        <f t="shared" si="2"/>
        <v>https://secure.booking.com/confirmation.html?bn=6710910656&amp;hc_origin=search&amp;pincode=875&amp;source=help_center</v>
      </c>
      <c r="Q62" s="9" t="s">
        <v>140</v>
      </c>
      <c r="R62" s="9" t="s">
        <v>182</v>
      </c>
      <c r="S62" s="9" t="s">
        <v>269</v>
      </c>
      <c r="T62" s="9" t="s">
        <v>278</v>
      </c>
      <c r="U62" s="9"/>
      <c r="V62" s="9"/>
      <c r="W62" s="9" t="s">
        <v>32</v>
      </c>
      <c r="X62" s="9" t="s">
        <v>287</v>
      </c>
      <c r="Y62" s="9" t="s">
        <v>288</v>
      </c>
      <c r="Z62" s="3"/>
      <c r="AA62" s="3"/>
    </row>
    <row r="63" spans="1:27" ht="15.75" customHeight="1" x14ac:dyDescent="0.25">
      <c r="A63" s="8">
        <f t="shared" si="6"/>
        <v>45928</v>
      </c>
      <c r="B63" s="9" t="s">
        <v>289</v>
      </c>
      <c r="C63" s="10">
        <v>5353017761</v>
      </c>
      <c r="D63" s="10">
        <v>267</v>
      </c>
      <c r="E63" s="3" t="s">
        <v>290</v>
      </c>
      <c r="F63" s="9" t="s">
        <v>291</v>
      </c>
      <c r="G63" s="11"/>
      <c r="H63" s="12">
        <v>45931</v>
      </c>
      <c r="I63" s="12">
        <v>45932</v>
      </c>
      <c r="J63" s="11"/>
      <c r="K63" s="3" t="s">
        <v>36</v>
      </c>
      <c r="L63" s="3"/>
      <c r="M63" s="9"/>
      <c r="N63" s="12">
        <f t="shared" si="0"/>
        <v>45946</v>
      </c>
      <c r="O63" s="9">
        <f t="shared" ca="1" si="1"/>
        <v>-69</v>
      </c>
      <c r="P63" s="13" t="str">
        <f t="shared" si="2"/>
        <v>https://secure.booking.com/confirmation.html?bn=5353017761&amp;hc_origin=search&amp;pincode=267&amp;source=help_center</v>
      </c>
      <c r="Q63" s="9" t="s">
        <v>71</v>
      </c>
      <c r="R63" s="9" t="s">
        <v>291</v>
      </c>
      <c r="S63" s="9" t="s">
        <v>292</v>
      </c>
      <c r="T63" s="9" t="s">
        <v>103</v>
      </c>
      <c r="U63" s="9"/>
      <c r="V63" s="9"/>
      <c r="W63" s="9" t="s">
        <v>32</v>
      </c>
      <c r="X63" s="9" t="s">
        <v>293</v>
      </c>
      <c r="Y63" s="9" t="s">
        <v>294</v>
      </c>
      <c r="Z63" s="3"/>
      <c r="AA63" s="3"/>
    </row>
    <row r="64" spans="1:27" ht="15.75" customHeight="1" x14ac:dyDescent="0.25">
      <c r="A64" s="8">
        <f t="shared" si="6"/>
        <v>45932</v>
      </c>
      <c r="B64" s="9" t="s">
        <v>295</v>
      </c>
      <c r="C64" s="10">
        <v>6839958749</v>
      </c>
      <c r="D64" s="10">
        <v>859</v>
      </c>
      <c r="E64" s="3" t="s">
        <v>296</v>
      </c>
      <c r="F64" s="9" t="s">
        <v>297</v>
      </c>
      <c r="G64" s="11"/>
      <c r="H64" s="12">
        <v>46011</v>
      </c>
      <c r="I64" s="12">
        <v>45932</v>
      </c>
      <c r="J64" s="11"/>
      <c r="K64" s="3" t="s">
        <v>36</v>
      </c>
      <c r="L64" s="3"/>
      <c r="M64" s="9"/>
      <c r="N64" s="12">
        <f t="shared" si="0"/>
        <v>45946</v>
      </c>
      <c r="O64" s="9">
        <f t="shared" ca="1" si="1"/>
        <v>-69</v>
      </c>
      <c r="P64" s="13" t="str">
        <f t="shared" si="2"/>
        <v>https://secure.booking.com/confirmation.html?bn=6839958749&amp;hc_origin=search&amp;pincode=859&amp;source=help_center</v>
      </c>
      <c r="Q64" s="9" t="s">
        <v>71</v>
      </c>
      <c r="R64" s="9" t="s">
        <v>297</v>
      </c>
      <c r="S64" s="9" t="s">
        <v>298</v>
      </c>
      <c r="T64" s="9" t="s">
        <v>299</v>
      </c>
      <c r="U64" s="9"/>
      <c r="V64" s="9"/>
      <c r="W64" s="9" t="s">
        <v>32</v>
      </c>
      <c r="X64" s="9" t="s">
        <v>300</v>
      </c>
      <c r="Y64" s="9" t="s">
        <v>301</v>
      </c>
      <c r="Z64" s="3"/>
      <c r="AA64" s="3"/>
    </row>
    <row r="65" spans="1:27" ht="15.75" customHeight="1" x14ac:dyDescent="0.25">
      <c r="A65" s="8">
        <f t="shared" si="6"/>
        <v>45932</v>
      </c>
      <c r="B65" s="9" t="s">
        <v>249</v>
      </c>
      <c r="C65" s="10">
        <v>5249573353</v>
      </c>
      <c r="D65" s="10">
        <v>4277</v>
      </c>
      <c r="E65" s="3" t="s">
        <v>60</v>
      </c>
      <c r="F65" s="9" t="s">
        <v>61</v>
      </c>
      <c r="G65" s="11"/>
      <c r="H65" s="12">
        <v>45932</v>
      </c>
      <c r="I65" s="12">
        <v>45934</v>
      </c>
      <c r="J65" s="11"/>
      <c r="K65" s="3" t="s">
        <v>36</v>
      </c>
      <c r="L65" s="3"/>
      <c r="M65" s="9"/>
      <c r="N65" s="12">
        <f t="shared" si="0"/>
        <v>45948</v>
      </c>
      <c r="O65" s="9">
        <f t="shared" ca="1" si="1"/>
        <v>-67</v>
      </c>
      <c r="P65" s="13" t="str">
        <f t="shared" si="2"/>
        <v>https://secure.booking.com/confirmation.html?bn=5249573353&amp;hc_origin=search&amp;pincode=4277&amp;source=help_center</v>
      </c>
      <c r="Q65" s="9" t="s">
        <v>71</v>
      </c>
      <c r="R65" s="9" t="s">
        <v>61</v>
      </c>
      <c r="S65" s="9" t="s">
        <v>299</v>
      </c>
      <c r="T65" s="9" t="s">
        <v>302</v>
      </c>
      <c r="U65" s="9"/>
      <c r="V65" s="9"/>
      <c r="W65" s="9" t="s">
        <v>32</v>
      </c>
      <c r="X65" s="9" t="s">
        <v>303</v>
      </c>
      <c r="Y65" s="9" t="s">
        <v>304</v>
      </c>
      <c r="Z65" s="3"/>
      <c r="AA65" s="3"/>
    </row>
    <row r="66" spans="1:27" ht="15.75" customHeight="1" x14ac:dyDescent="0.25">
      <c r="A66" s="8">
        <f t="shared" si="6"/>
        <v>45934</v>
      </c>
      <c r="B66" s="9" t="s">
        <v>305</v>
      </c>
      <c r="C66" s="10">
        <v>6350360992</v>
      </c>
      <c r="D66" s="10">
        <v>7006</v>
      </c>
      <c r="E66" s="3" t="s">
        <v>306</v>
      </c>
      <c r="F66" s="9" t="s">
        <v>307</v>
      </c>
      <c r="G66" s="11"/>
      <c r="H66" s="12">
        <v>45933</v>
      </c>
      <c r="I66" s="12">
        <v>45934</v>
      </c>
      <c r="J66" s="11">
        <v>0</v>
      </c>
      <c r="K66" s="3" t="s">
        <v>36</v>
      </c>
      <c r="L66" s="3"/>
      <c r="M66" s="9"/>
      <c r="N66" s="12">
        <f t="shared" si="0"/>
        <v>45948</v>
      </c>
      <c r="O66" s="9">
        <f t="shared" ca="1" si="1"/>
        <v>-67</v>
      </c>
      <c r="P66" s="13" t="str">
        <f t="shared" si="2"/>
        <v>https://secure.booking.com/confirmation.html?bn=6350360992&amp;hc_origin=search&amp;pincode=7006&amp;source=help_center</v>
      </c>
      <c r="Q66" s="9" t="s">
        <v>71</v>
      </c>
      <c r="R66" s="9" t="s">
        <v>307</v>
      </c>
      <c r="S66" s="9" t="s">
        <v>308</v>
      </c>
      <c r="T66" s="9" t="s">
        <v>302</v>
      </c>
      <c r="U66" s="9" t="s">
        <v>309</v>
      </c>
      <c r="V66" s="9"/>
      <c r="W66" s="9" t="s">
        <v>32</v>
      </c>
      <c r="X66" s="9" t="s">
        <v>310</v>
      </c>
      <c r="Y66" s="9" t="s">
        <v>311</v>
      </c>
      <c r="Z66" s="3"/>
      <c r="AA66" s="3"/>
    </row>
    <row r="67" spans="1:27" ht="15.75" customHeight="1" x14ac:dyDescent="0.25">
      <c r="A67" s="8">
        <f t="shared" si="6"/>
        <v>45934</v>
      </c>
      <c r="B67" s="9" t="s">
        <v>244</v>
      </c>
      <c r="C67" s="10">
        <v>6298212138</v>
      </c>
      <c r="D67" s="10">
        <v>6207</v>
      </c>
      <c r="E67" s="3" t="s">
        <v>245</v>
      </c>
      <c r="F67" s="9" t="s">
        <v>246</v>
      </c>
      <c r="G67" s="11"/>
      <c r="H67" s="12">
        <v>45932</v>
      </c>
      <c r="I67" s="12">
        <v>45935</v>
      </c>
      <c r="J67" s="11">
        <v>120</v>
      </c>
      <c r="K67" s="3" t="s">
        <v>29</v>
      </c>
      <c r="L67" s="3"/>
      <c r="M67" s="9"/>
      <c r="N67" s="12">
        <f t="shared" si="0"/>
        <v>45949</v>
      </c>
      <c r="O67" s="9">
        <f t="shared" ca="1" si="1"/>
        <v>-66</v>
      </c>
      <c r="P67" s="13" t="str">
        <f t="shared" si="2"/>
        <v>https://secure.booking.com/confirmation.html?bn=6298212138&amp;hc_origin=search&amp;pincode=6207&amp;source=help_center</v>
      </c>
      <c r="Q67" s="9" t="s">
        <v>140</v>
      </c>
      <c r="R67" s="9" t="s">
        <v>246</v>
      </c>
      <c r="S67" s="9" t="s">
        <v>299</v>
      </c>
      <c r="T67" s="9" t="s">
        <v>312</v>
      </c>
      <c r="U67" s="9" t="s">
        <v>183</v>
      </c>
      <c r="V67" s="9"/>
      <c r="W67" s="9" t="s">
        <v>32</v>
      </c>
      <c r="X67" s="9" t="s">
        <v>313</v>
      </c>
      <c r="Y67" s="9" t="s">
        <v>314</v>
      </c>
      <c r="Z67" s="3"/>
      <c r="AA67" s="3"/>
    </row>
    <row r="68" spans="1:27" ht="15.75" customHeight="1" x14ac:dyDescent="0.25">
      <c r="A68" s="8">
        <f t="shared" si="6"/>
        <v>45935</v>
      </c>
      <c r="B68" s="9" t="s">
        <v>315</v>
      </c>
      <c r="C68" s="10">
        <v>5494329250</v>
      </c>
      <c r="D68" s="10">
        <v>2258</v>
      </c>
      <c r="E68" s="3" t="s">
        <v>73</v>
      </c>
      <c r="F68" s="9" t="s">
        <v>74</v>
      </c>
      <c r="G68" s="11"/>
      <c r="H68" s="12">
        <v>45934</v>
      </c>
      <c r="I68" s="12">
        <v>45936</v>
      </c>
      <c r="J68" s="11">
        <v>83.27</v>
      </c>
      <c r="K68" s="3" t="s">
        <v>29</v>
      </c>
      <c r="L68" s="3"/>
      <c r="M68" s="9"/>
      <c r="N68" s="12">
        <f t="shared" si="0"/>
        <v>45950</v>
      </c>
      <c r="O68" s="9">
        <f t="shared" ca="1" si="1"/>
        <v>-65</v>
      </c>
      <c r="P68" s="13" t="str">
        <f t="shared" si="2"/>
        <v>https://secure.booking.com/confirmation.html?bn=5494329250&amp;hc_origin=search&amp;pincode=2258&amp;source=help_center</v>
      </c>
      <c r="Q68" s="9" t="s">
        <v>140</v>
      </c>
      <c r="R68" s="9" t="s">
        <v>74</v>
      </c>
      <c r="S68" s="9" t="s">
        <v>302</v>
      </c>
      <c r="T68" s="9" t="s">
        <v>316</v>
      </c>
      <c r="U68" s="9" t="s">
        <v>317</v>
      </c>
      <c r="V68" s="9"/>
      <c r="W68" s="9" t="s">
        <v>32</v>
      </c>
      <c r="X68" s="9" t="s">
        <v>318</v>
      </c>
      <c r="Y68" s="9" t="s">
        <v>319</v>
      </c>
      <c r="Z68" s="3"/>
      <c r="AA68" s="3"/>
    </row>
    <row r="69" spans="1:27" ht="15.75" customHeight="1" x14ac:dyDescent="0.25">
      <c r="A69" s="8">
        <f t="shared" si="6"/>
        <v>45936</v>
      </c>
      <c r="B69" s="9" t="s">
        <v>320</v>
      </c>
      <c r="C69" s="10">
        <v>6840855886</v>
      </c>
      <c r="D69" s="10">
        <v>8150</v>
      </c>
      <c r="E69" s="3" t="s">
        <v>321</v>
      </c>
      <c r="F69" s="9" t="s">
        <v>322</v>
      </c>
      <c r="G69" s="11"/>
      <c r="H69" s="12">
        <v>45933</v>
      </c>
      <c r="I69" s="12">
        <v>45936</v>
      </c>
      <c r="J69" s="11">
        <v>120</v>
      </c>
      <c r="K69" s="3" t="s">
        <v>29</v>
      </c>
      <c r="L69" s="3"/>
      <c r="M69" s="9"/>
      <c r="N69" s="12">
        <f t="shared" si="0"/>
        <v>45950</v>
      </c>
      <c r="O69" s="9">
        <f t="shared" ca="1" si="1"/>
        <v>-65</v>
      </c>
      <c r="P69" s="13" t="str">
        <f t="shared" si="2"/>
        <v>https://secure.booking.com/confirmation.html?bn=6840855886&amp;hc_origin=search&amp;pincode=8150&amp;source=help_center</v>
      </c>
      <c r="Q69" s="9" t="s">
        <v>140</v>
      </c>
      <c r="R69" s="9" t="s">
        <v>322</v>
      </c>
      <c r="S69" s="9" t="s">
        <v>308</v>
      </c>
      <c r="T69" s="9" t="s">
        <v>316</v>
      </c>
      <c r="U69" s="9"/>
      <c r="V69" s="9"/>
      <c r="W69" s="9" t="s">
        <v>32</v>
      </c>
      <c r="X69" s="9" t="s">
        <v>323</v>
      </c>
      <c r="Y69" s="9" t="s">
        <v>324</v>
      </c>
      <c r="Z69" s="3"/>
      <c r="AA69" s="3"/>
    </row>
    <row r="70" spans="1:27" ht="15.75" customHeight="1" x14ac:dyDescent="0.25">
      <c r="A70" s="8">
        <f t="shared" si="6"/>
        <v>45936</v>
      </c>
      <c r="B70" s="9" t="s">
        <v>275</v>
      </c>
      <c r="C70" s="10">
        <v>6654579096</v>
      </c>
      <c r="D70" s="10">
        <v>548</v>
      </c>
      <c r="E70" s="3" t="s">
        <v>276</v>
      </c>
      <c r="F70" s="9" t="s">
        <v>277</v>
      </c>
      <c r="G70" s="11"/>
      <c r="H70" s="12">
        <v>45932</v>
      </c>
      <c r="I70" s="12">
        <v>45937</v>
      </c>
      <c r="J70" s="11"/>
      <c r="K70" s="3" t="s">
        <v>29</v>
      </c>
      <c r="L70" s="3"/>
      <c r="M70" s="9"/>
      <c r="N70" s="12">
        <f t="shared" si="0"/>
        <v>45951</v>
      </c>
      <c r="O70" s="9">
        <f t="shared" ca="1" si="1"/>
        <v>-64</v>
      </c>
      <c r="P70" s="13" t="str">
        <f t="shared" si="2"/>
        <v>https://secure.booking.com/confirmation.html?bn=6654579096&amp;hc_origin=search&amp;pincode=548&amp;source=help_center</v>
      </c>
      <c r="Q70" s="9" t="s">
        <v>140</v>
      </c>
      <c r="R70" s="9" t="s">
        <v>277</v>
      </c>
      <c r="S70" s="9" t="s">
        <v>299</v>
      </c>
      <c r="T70" s="9" t="s">
        <v>325</v>
      </c>
      <c r="U70" s="9"/>
      <c r="V70" s="9"/>
      <c r="W70" s="9" t="s">
        <v>32</v>
      </c>
      <c r="X70" s="9" t="s">
        <v>326</v>
      </c>
      <c r="Y70" s="9" t="s">
        <v>327</v>
      </c>
      <c r="Z70" s="3"/>
      <c r="AA70" s="3"/>
    </row>
    <row r="71" spans="1:27" ht="15.75" customHeight="1" x14ac:dyDescent="0.25">
      <c r="A71" s="8">
        <f t="shared" si="6"/>
        <v>45937</v>
      </c>
      <c r="B71" s="9" t="s">
        <v>328</v>
      </c>
      <c r="C71" s="10">
        <v>6840896773</v>
      </c>
      <c r="D71" s="10">
        <v>9839</v>
      </c>
      <c r="E71" s="3" t="s">
        <v>329</v>
      </c>
      <c r="F71" s="9" t="s">
        <v>330</v>
      </c>
      <c r="G71" s="11"/>
      <c r="H71" s="12">
        <v>45933</v>
      </c>
      <c r="I71" s="12">
        <v>45937</v>
      </c>
      <c r="J71" s="11">
        <v>120</v>
      </c>
      <c r="K71" s="3" t="s">
        <v>29</v>
      </c>
      <c r="L71" s="3"/>
      <c r="M71" s="9"/>
      <c r="N71" s="12">
        <f t="shared" si="0"/>
        <v>45951</v>
      </c>
      <c r="O71" s="9">
        <f t="shared" ca="1" si="1"/>
        <v>-64</v>
      </c>
      <c r="P71" s="13" t="str">
        <f t="shared" si="2"/>
        <v>https://secure.booking.com/confirmation.html?bn=6840896773&amp;hc_origin=search&amp;pincode=9839&amp;source=help_center</v>
      </c>
      <c r="Q71" s="9" t="s">
        <v>140</v>
      </c>
      <c r="R71" s="9" t="s">
        <v>330</v>
      </c>
      <c r="S71" s="9" t="s">
        <v>308</v>
      </c>
      <c r="T71" s="9" t="s">
        <v>325</v>
      </c>
      <c r="U71" s="9" t="s">
        <v>183</v>
      </c>
      <c r="V71" s="9"/>
      <c r="W71" s="9" t="s">
        <v>32</v>
      </c>
      <c r="X71" s="9" t="s">
        <v>331</v>
      </c>
      <c r="Y71" s="9" t="s">
        <v>332</v>
      </c>
      <c r="Z71" s="3"/>
      <c r="AA71" s="3"/>
    </row>
    <row r="72" spans="1:27" ht="15.75" customHeight="1" x14ac:dyDescent="0.25">
      <c r="A72" s="8">
        <f t="shared" si="6"/>
        <v>45937</v>
      </c>
      <c r="B72" s="9" t="s">
        <v>333</v>
      </c>
      <c r="C72" s="10">
        <v>6747819089</v>
      </c>
      <c r="D72" s="10">
        <v>5568</v>
      </c>
      <c r="E72" s="3" t="s">
        <v>334</v>
      </c>
      <c r="F72" s="9" t="s">
        <v>335</v>
      </c>
      <c r="G72" s="11"/>
      <c r="H72" s="12">
        <v>45933</v>
      </c>
      <c r="I72" s="12">
        <v>45937</v>
      </c>
      <c r="J72" s="11">
        <v>120</v>
      </c>
      <c r="K72" s="3" t="s">
        <v>29</v>
      </c>
      <c r="L72" s="3"/>
      <c r="M72" s="9"/>
      <c r="N72" s="12">
        <f t="shared" si="0"/>
        <v>45951</v>
      </c>
      <c r="O72" s="9">
        <f t="shared" ca="1" si="1"/>
        <v>-64</v>
      </c>
      <c r="P72" s="13" t="str">
        <f t="shared" si="2"/>
        <v>https://secure.booking.com/confirmation.html?bn=6747819089&amp;hc_origin=search&amp;pincode=5568&amp;source=help_center</v>
      </c>
      <c r="Q72" s="9" t="s">
        <v>140</v>
      </c>
      <c r="R72" s="9" t="s">
        <v>335</v>
      </c>
      <c r="S72" s="9" t="s">
        <v>308</v>
      </c>
      <c r="T72" s="9" t="s">
        <v>325</v>
      </c>
      <c r="U72" s="9" t="s">
        <v>272</v>
      </c>
      <c r="V72" s="9"/>
      <c r="W72" s="9" t="s">
        <v>32</v>
      </c>
      <c r="X72" s="9" t="s">
        <v>336</v>
      </c>
      <c r="Y72" s="9" t="s">
        <v>337</v>
      </c>
      <c r="Z72" s="3"/>
      <c r="AA72" s="3"/>
    </row>
    <row r="73" spans="1:27" ht="15.75" customHeight="1" x14ac:dyDescent="0.25">
      <c r="A73" s="8">
        <f t="shared" si="6"/>
        <v>45937</v>
      </c>
      <c r="B73" s="9" t="s">
        <v>237</v>
      </c>
      <c r="C73" s="10">
        <v>5744659261</v>
      </c>
      <c r="D73" s="10">
        <v>9533</v>
      </c>
      <c r="E73" s="3" t="s">
        <v>238</v>
      </c>
      <c r="F73" s="9" t="s">
        <v>239</v>
      </c>
      <c r="G73" s="11"/>
      <c r="H73" s="12">
        <v>45932</v>
      </c>
      <c r="I73" s="12">
        <v>45938</v>
      </c>
      <c r="J73" s="11"/>
      <c r="K73" s="3" t="s">
        <v>29</v>
      </c>
      <c r="L73" s="3"/>
      <c r="M73" s="9"/>
      <c r="N73" s="12">
        <f t="shared" si="0"/>
        <v>45952</v>
      </c>
      <c r="O73" s="9">
        <f t="shared" ca="1" si="1"/>
        <v>-63</v>
      </c>
      <c r="P73" s="13" t="str">
        <f t="shared" si="2"/>
        <v>https://secure.booking.com/confirmation.html?bn=5744659261&amp;hc_origin=search&amp;pincode=9533&amp;source=help_center</v>
      </c>
      <c r="Q73" s="9" t="s">
        <v>140</v>
      </c>
      <c r="R73" s="9" t="s">
        <v>239</v>
      </c>
      <c r="S73" s="9" t="s">
        <v>299</v>
      </c>
      <c r="T73" s="9" t="s">
        <v>338</v>
      </c>
      <c r="U73" s="9"/>
      <c r="V73" s="9"/>
      <c r="W73" s="9" t="s">
        <v>32</v>
      </c>
      <c r="X73" s="9" t="s">
        <v>339</v>
      </c>
      <c r="Y73" s="9" t="s">
        <v>340</v>
      </c>
      <c r="Z73" s="3"/>
      <c r="AA73" s="3"/>
    </row>
    <row r="74" spans="1:27" ht="15.75" customHeight="1" x14ac:dyDescent="0.25">
      <c r="A74" s="8">
        <f t="shared" si="6"/>
        <v>45938</v>
      </c>
      <c r="B74" s="9" t="s">
        <v>223</v>
      </c>
      <c r="C74" s="10">
        <v>6380553902</v>
      </c>
      <c r="D74" s="10">
        <v>8675</v>
      </c>
      <c r="E74" s="3" t="s">
        <v>100</v>
      </c>
      <c r="F74" s="9" t="s">
        <v>101</v>
      </c>
      <c r="G74" s="11"/>
      <c r="H74" s="12">
        <v>45932</v>
      </c>
      <c r="I74" s="12">
        <v>45938</v>
      </c>
      <c r="J74" s="11">
        <v>120</v>
      </c>
      <c r="K74" s="3" t="s">
        <v>36</v>
      </c>
      <c r="L74" s="3"/>
      <c r="M74" s="9"/>
      <c r="N74" s="12">
        <f t="shared" si="0"/>
        <v>45952</v>
      </c>
      <c r="O74" s="9">
        <f t="shared" ca="1" si="1"/>
        <v>-63</v>
      </c>
      <c r="P74" s="13" t="str">
        <f t="shared" si="2"/>
        <v>https://secure.booking.com/confirmation.html?bn=6380553902&amp;hc_origin=search&amp;pincode=8675&amp;source=help_center</v>
      </c>
      <c r="Q74" s="9" t="s">
        <v>71</v>
      </c>
      <c r="R74" s="9" t="s">
        <v>101</v>
      </c>
      <c r="S74" s="9" t="s">
        <v>299</v>
      </c>
      <c r="T74" s="9" t="s">
        <v>338</v>
      </c>
      <c r="U74" s="9" t="s">
        <v>272</v>
      </c>
      <c r="V74" s="9"/>
      <c r="W74" s="9" t="s">
        <v>32</v>
      </c>
      <c r="X74" s="9" t="s">
        <v>341</v>
      </c>
      <c r="Y74" s="9" t="s">
        <v>342</v>
      </c>
      <c r="Z74" s="3"/>
      <c r="AA74" s="3"/>
    </row>
    <row r="75" spans="1:27" ht="15.75" customHeight="1" x14ac:dyDescent="0.25">
      <c r="A75" s="8">
        <f t="shared" si="6"/>
        <v>45938</v>
      </c>
      <c r="B75" s="9" t="s">
        <v>72</v>
      </c>
      <c r="C75" s="10">
        <v>5937733833</v>
      </c>
      <c r="D75" s="10">
        <v>9090</v>
      </c>
      <c r="E75" s="3" t="s">
        <v>73</v>
      </c>
      <c r="F75" s="9" t="s">
        <v>74</v>
      </c>
      <c r="G75" s="11"/>
      <c r="H75" s="12">
        <v>45938</v>
      </c>
      <c r="I75" s="12">
        <v>45940</v>
      </c>
      <c r="J75" s="11"/>
      <c r="K75" s="3" t="s">
        <v>36</v>
      </c>
      <c r="L75" s="3"/>
      <c r="M75" s="9"/>
      <c r="N75" s="12">
        <f t="shared" si="0"/>
        <v>45954</v>
      </c>
      <c r="O75" s="9">
        <f t="shared" ca="1" si="1"/>
        <v>-61</v>
      </c>
      <c r="P75" s="13" t="str">
        <f t="shared" si="2"/>
        <v>https://secure.booking.com/confirmation.html?bn=5937733833&amp;hc_origin=search&amp;pincode=9090&amp;source=help_center</v>
      </c>
      <c r="Q75" s="9" t="s">
        <v>71</v>
      </c>
      <c r="R75" s="9" t="s">
        <v>74</v>
      </c>
      <c r="S75" s="9" t="s">
        <v>338</v>
      </c>
      <c r="T75" s="9" t="s">
        <v>343</v>
      </c>
      <c r="U75" s="9"/>
      <c r="V75" s="9"/>
      <c r="W75" s="9" t="s">
        <v>32</v>
      </c>
      <c r="X75" s="9" t="s">
        <v>344</v>
      </c>
      <c r="Y75" s="9" t="s">
        <v>345</v>
      </c>
      <c r="Z75" s="3"/>
      <c r="AA75" s="3"/>
    </row>
    <row r="76" spans="1:27" ht="15.75" customHeight="1" x14ac:dyDescent="0.25">
      <c r="A76" s="8">
        <f t="shared" si="6"/>
        <v>45940</v>
      </c>
      <c r="B76" s="9" t="s">
        <v>90</v>
      </c>
      <c r="C76" s="10">
        <v>6776549055</v>
      </c>
      <c r="D76" s="10">
        <v>6329</v>
      </c>
      <c r="E76" s="3" t="s">
        <v>346</v>
      </c>
      <c r="F76" s="9" t="s">
        <v>347</v>
      </c>
      <c r="G76" s="11"/>
      <c r="H76" s="12">
        <v>45938</v>
      </c>
      <c r="I76" s="12">
        <v>45940</v>
      </c>
      <c r="J76" s="11">
        <v>120</v>
      </c>
      <c r="K76" s="3" t="s">
        <v>29</v>
      </c>
      <c r="L76" s="3"/>
      <c r="M76" s="9"/>
      <c r="N76" s="12">
        <f t="shared" si="0"/>
        <v>45954</v>
      </c>
      <c r="O76" s="9">
        <f t="shared" ca="1" si="1"/>
        <v>-61</v>
      </c>
      <c r="P76" s="13" t="str">
        <f t="shared" si="2"/>
        <v>https://secure.booking.com/confirmation.html?bn=6776549055&amp;hc_origin=search&amp;pincode=6329&amp;source=help_center</v>
      </c>
      <c r="Q76" s="9" t="s">
        <v>140</v>
      </c>
      <c r="R76" s="9" t="s">
        <v>347</v>
      </c>
      <c r="S76" s="9" t="s">
        <v>338</v>
      </c>
      <c r="T76" s="9" t="s">
        <v>343</v>
      </c>
      <c r="U76" s="9" t="s">
        <v>272</v>
      </c>
      <c r="V76" s="9"/>
      <c r="W76" s="9" t="s">
        <v>32</v>
      </c>
      <c r="X76" s="9" t="s">
        <v>348</v>
      </c>
      <c r="Y76" s="9" t="s">
        <v>349</v>
      </c>
      <c r="Z76" s="3"/>
      <c r="AA76" s="3"/>
    </row>
    <row r="77" spans="1:27" ht="15.75" customHeight="1" x14ac:dyDescent="0.25">
      <c r="A77" s="8">
        <f t="shared" si="6"/>
        <v>45940</v>
      </c>
      <c r="B77" s="9" t="s">
        <v>350</v>
      </c>
      <c r="C77" s="10">
        <v>6923100029</v>
      </c>
      <c r="D77" s="10">
        <v>3244</v>
      </c>
      <c r="E77" s="3" t="s">
        <v>351</v>
      </c>
      <c r="F77" s="9" t="s">
        <v>352</v>
      </c>
      <c r="G77" s="11"/>
      <c r="H77" s="12">
        <v>45935</v>
      </c>
      <c r="I77" s="12">
        <v>45941</v>
      </c>
      <c r="J77" s="11">
        <v>125</v>
      </c>
      <c r="K77" s="3" t="s">
        <v>29</v>
      </c>
      <c r="L77" s="3"/>
      <c r="M77" s="9"/>
      <c r="N77" s="12">
        <f t="shared" si="0"/>
        <v>45955</v>
      </c>
      <c r="O77" s="9">
        <f t="shared" ca="1" si="1"/>
        <v>-60</v>
      </c>
      <c r="P77" s="13" t="str">
        <f t="shared" si="2"/>
        <v>https://secure.booking.com/confirmation.html?bn=6923100029&amp;hc_origin=search&amp;pincode=3244&amp;source=help_center</v>
      </c>
      <c r="Q77" s="9" t="s">
        <v>140</v>
      </c>
      <c r="R77" s="9" t="s">
        <v>352</v>
      </c>
      <c r="S77" s="9" t="s">
        <v>312</v>
      </c>
      <c r="T77" s="9" t="s">
        <v>353</v>
      </c>
      <c r="U77" s="9" t="s">
        <v>354</v>
      </c>
      <c r="V77" s="9"/>
      <c r="W77" s="9" t="s">
        <v>32</v>
      </c>
      <c r="X77" s="9" t="s">
        <v>355</v>
      </c>
      <c r="Y77" s="9" t="s">
        <v>356</v>
      </c>
      <c r="Z77" s="3"/>
      <c r="AA77" s="3"/>
    </row>
    <row r="78" spans="1:27" ht="15.75" customHeight="1" x14ac:dyDescent="0.25">
      <c r="A78" s="8">
        <f t="shared" si="6"/>
        <v>45941</v>
      </c>
      <c r="B78" s="9" t="s">
        <v>357</v>
      </c>
      <c r="C78" s="10">
        <v>6125551899</v>
      </c>
      <c r="D78" s="10">
        <v>2701</v>
      </c>
      <c r="E78" s="3" t="s">
        <v>66</v>
      </c>
      <c r="F78" s="9" t="s">
        <v>67</v>
      </c>
      <c r="G78" s="11"/>
      <c r="H78" s="12">
        <v>45937</v>
      </c>
      <c r="I78" s="12">
        <v>45941</v>
      </c>
      <c r="J78" s="11">
        <v>118.45</v>
      </c>
      <c r="K78" s="3" t="s">
        <v>29</v>
      </c>
      <c r="L78" s="3"/>
      <c r="M78" s="9"/>
      <c r="N78" s="12">
        <f t="shared" si="0"/>
        <v>45955</v>
      </c>
      <c r="O78" s="9">
        <f t="shared" ca="1" si="1"/>
        <v>-60</v>
      </c>
      <c r="P78" s="13" t="str">
        <f t="shared" si="2"/>
        <v>https://secure.booking.com/confirmation.html?bn=6125551899&amp;hc_origin=search&amp;pincode=2701&amp;source=help_center</v>
      </c>
      <c r="Q78" s="9" t="s">
        <v>140</v>
      </c>
      <c r="R78" s="9" t="s">
        <v>67</v>
      </c>
      <c r="S78" s="9" t="s">
        <v>325</v>
      </c>
      <c r="T78" s="9" t="s">
        <v>353</v>
      </c>
      <c r="U78" s="9"/>
      <c r="V78" s="9"/>
      <c r="W78" s="9" t="s">
        <v>32</v>
      </c>
      <c r="X78" s="9" t="s">
        <v>358</v>
      </c>
      <c r="Y78" s="9" t="s">
        <v>359</v>
      </c>
      <c r="Z78" s="3"/>
      <c r="AA78" s="3"/>
    </row>
    <row r="79" spans="1:27" ht="15.75" customHeight="1" x14ac:dyDescent="0.25">
      <c r="A79" s="8">
        <f t="shared" si="6"/>
        <v>45941</v>
      </c>
      <c r="B79" s="9" t="s">
        <v>360</v>
      </c>
      <c r="C79" s="10">
        <v>5086438252</v>
      </c>
      <c r="D79" s="10">
        <v>5345</v>
      </c>
      <c r="E79" s="3" t="s">
        <v>361</v>
      </c>
      <c r="F79" s="9" t="s">
        <v>362</v>
      </c>
      <c r="G79" s="11"/>
      <c r="H79" s="12">
        <v>45937</v>
      </c>
      <c r="I79" s="12">
        <v>45941</v>
      </c>
      <c r="J79" s="11">
        <v>98.91</v>
      </c>
      <c r="K79" s="3" t="s">
        <v>29</v>
      </c>
      <c r="L79" s="3"/>
      <c r="M79" s="9"/>
      <c r="N79" s="12">
        <f t="shared" si="0"/>
        <v>45955</v>
      </c>
      <c r="O79" s="9">
        <f t="shared" ca="1" si="1"/>
        <v>-60</v>
      </c>
      <c r="P79" s="13" t="str">
        <f t="shared" si="2"/>
        <v>https://secure.booking.com/confirmation.html?bn=5086438252&amp;hc_origin=search&amp;pincode=5345&amp;source=help_center</v>
      </c>
      <c r="Q79" s="9" t="s">
        <v>140</v>
      </c>
      <c r="R79" s="9" t="s">
        <v>362</v>
      </c>
      <c r="S79" s="9" t="s">
        <v>325</v>
      </c>
      <c r="T79" s="9" t="s">
        <v>353</v>
      </c>
      <c r="U79" s="9" t="s">
        <v>363</v>
      </c>
      <c r="V79" s="9"/>
      <c r="W79" s="9" t="s">
        <v>32</v>
      </c>
      <c r="X79" s="9" t="s">
        <v>364</v>
      </c>
      <c r="Y79" s="9" t="s">
        <v>365</v>
      </c>
      <c r="Z79" s="3"/>
      <c r="AA79" s="3"/>
    </row>
    <row r="80" spans="1:27" ht="15.75" customHeight="1" x14ac:dyDescent="0.25">
      <c r="A80" s="8">
        <f t="shared" si="6"/>
        <v>45941</v>
      </c>
      <c r="B80" s="9" t="s">
        <v>40</v>
      </c>
      <c r="C80" s="10">
        <v>6169876804</v>
      </c>
      <c r="D80" s="10">
        <v>1410</v>
      </c>
      <c r="E80" s="3" t="s">
        <v>366</v>
      </c>
      <c r="F80" s="9" t="s">
        <v>367</v>
      </c>
      <c r="G80" s="11"/>
      <c r="H80" s="12">
        <v>45938</v>
      </c>
      <c r="I80" s="12">
        <v>45941</v>
      </c>
      <c r="J80" s="11"/>
      <c r="K80" s="3" t="s">
        <v>36</v>
      </c>
      <c r="L80" s="3"/>
      <c r="M80" s="9"/>
      <c r="N80" s="12">
        <f t="shared" si="0"/>
        <v>45955</v>
      </c>
      <c r="O80" s="9">
        <f t="shared" ca="1" si="1"/>
        <v>-60</v>
      </c>
      <c r="P80" s="13" t="str">
        <f t="shared" si="2"/>
        <v>https://secure.booking.com/confirmation.html?bn=6169876804&amp;hc_origin=search&amp;pincode=1410&amp;source=help_center</v>
      </c>
      <c r="Q80" s="9" t="s">
        <v>71</v>
      </c>
      <c r="R80" s="9" t="s">
        <v>367</v>
      </c>
      <c r="S80" s="9" t="s">
        <v>338</v>
      </c>
      <c r="T80" s="9" t="s">
        <v>353</v>
      </c>
      <c r="U80" s="9"/>
      <c r="V80" s="9"/>
      <c r="W80" s="9" t="s">
        <v>32</v>
      </c>
      <c r="X80" s="9" t="s">
        <v>368</v>
      </c>
      <c r="Y80" s="9" t="s">
        <v>369</v>
      </c>
      <c r="Z80" s="3"/>
      <c r="AA80" s="3"/>
    </row>
    <row r="81" spans="1:27" ht="15.75" customHeight="1" x14ac:dyDescent="0.25">
      <c r="A81" s="8">
        <f t="shared" si="6"/>
        <v>45941</v>
      </c>
      <c r="B81" s="9" t="s">
        <v>96</v>
      </c>
      <c r="C81" s="10">
        <v>6306574906</v>
      </c>
      <c r="D81" s="10">
        <v>7233</v>
      </c>
      <c r="E81" s="3" t="s">
        <v>97</v>
      </c>
      <c r="F81" s="9" t="s">
        <v>98</v>
      </c>
      <c r="G81" s="11"/>
      <c r="H81" s="12">
        <v>45938</v>
      </c>
      <c r="I81" s="12">
        <v>45941</v>
      </c>
      <c r="J81" s="11">
        <v>110.06</v>
      </c>
      <c r="K81" s="3" t="s">
        <v>29</v>
      </c>
      <c r="L81" s="3"/>
      <c r="M81" s="9"/>
      <c r="N81" s="12">
        <f t="shared" si="0"/>
        <v>45955</v>
      </c>
      <c r="O81" s="9">
        <f t="shared" ca="1" si="1"/>
        <v>-60</v>
      </c>
      <c r="P81" s="13" t="str">
        <f t="shared" si="2"/>
        <v>https://secure.booking.com/confirmation.html?bn=6306574906&amp;hc_origin=search&amp;pincode=7233&amp;source=help_center</v>
      </c>
      <c r="Q81" s="9" t="s">
        <v>140</v>
      </c>
      <c r="R81" s="9" t="s">
        <v>98</v>
      </c>
      <c r="S81" s="9" t="s">
        <v>338</v>
      </c>
      <c r="T81" s="9" t="s">
        <v>353</v>
      </c>
      <c r="U81" s="9" t="s">
        <v>370</v>
      </c>
      <c r="V81" s="9"/>
      <c r="W81" s="9" t="s">
        <v>32</v>
      </c>
      <c r="X81" s="9" t="s">
        <v>371</v>
      </c>
      <c r="Y81" s="9" t="s">
        <v>372</v>
      </c>
      <c r="Z81" s="3"/>
      <c r="AA81" s="3"/>
    </row>
    <row r="82" spans="1:27" ht="15.75" customHeight="1" x14ac:dyDescent="0.25">
      <c r="A82" s="8">
        <f t="shared" si="6"/>
        <v>45941</v>
      </c>
      <c r="B82" s="9" t="s">
        <v>26</v>
      </c>
      <c r="C82" s="10">
        <v>6554867115</v>
      </c>
      <c r="D82" s="10">
        <v>4620</v>
      </c>
      <c r="E82" s="3" t="s">
        <v>27</v>
      </c>
      <c r="F82" s="9" t="s">
        <v>28</v>
      </c>
      <c r="G82" s="11"/>
      <c r="H82" s="12">
        <v>45939</v>
      </c>
      <c r="I82" s="12">
        <v>45941</v>
      </c>
      <c r="J82" s="11">
        <v>120</v>
      </c>
      <c r="K82" s="3" t="s">
        <v>29</v>
      </c>
      <c r="L82" s="3"/>
      <c r="M82" s="9"/>
      <c r="N82" s="12">
        <f t="shared" si="0"/>
        <v>45955</v>
      </c>
      <c r="O82" s="9">
        <f t="shared" ca="1" si="1"/>
        <v>-60</v>
      </c>
      <c r="P82" s="13" t="str">
        <f t="shared" si="2"/>
        <v>https://secure.booking.com/confirmation.html?bn=6554867115&amp;hc_origin=search&amp;pincode=4620&amp;source=help_center</v>
      </c>
      <c r="Q82" s="9" t="s">
        <v>140</v>
      </c>
      <c r="R82" s="9"/>
      <c r="S82" s="9" t="s">
        <v>373</v>
      </c>
      <c r="T82" s="9" t="s">
        <v>374</v>
      </c>
      <c r="U82" s="9"/>
      <c r="V82" s="9"/>
      <c r="W82" s="9" t="s">
        <v>32</v>
      </c>
      <c r="X82" s="9" t="s">
        <v>375</v>
      </c>
      <c r="Y82" s="9" t="s">
        <v>376</v>
      </c>
      <c r="Z82" s="3"/>
      <c r="AA82" s="3"/>
    </row>
    <row r="83" spans="1:27" ht="15.75" customHeight="1" x14ac:dyDescent="0.25">
      <c r="A83" s="8">
        <f t="shared" si="6"/>
        <v>45941</v>
      </c>
      <c r="B83" s="9" t="s">
        <v>377</v>
      </c>
      <c r="C83" s="10">
        <v>6519930490</v>
      </c>
      <c r="D83" s="10">
        <v>8842</v>
      </c>
      <c r="E83" s="3" t="s">
        <v>321</v>
      </c>
      <c r="F83" s="9" t="s">
        <v>322</v>
      </c>
      <c r="G83" s="11"/>
      <c r="H83" s="12">
        <v>45937</v>
      </c>
      <c r="I83" s="12">
        <v>45942</v>
      </c>
      <c r="J83" s="11"/>
      <c r="K83" s="3" t="s">
        <v>36</v>
      </c>
      <c r="L83" s="3"/>
      <c r="M83" s="9"/>
      <c r="N83" s="12">
        <f t="shared" si="0"/>
        <v>45956</v>
      </c>
      <c r="O83" s="9">
        <f t="shared" ca="1" si="1"/>
        <v>-59</v>
      </c>
      <c r="P83" s="13" t="str">
        <f t="shared" si="2"/>
        <v>https://secure.booking.com/confirmation.html?bn=6519930490&amp;hc_origin=search&amp;pincode=8842&amp;source=help_center</v>
      </c>
      <c r="Q83" s="9" t="s">
        <v>71</v>
      </c>
      <c r="R83" s="9" t="s">
        <v>322</v>
      </c>
      <c r="S83" s="9" t="s">
        <v>325</v>
      </c>
      <c r="T83" s="9" t="s">
        <v>378</v>
      </c>
      <c r="U83" s="9"/>
      <c r="V83" s="9"/>
      <c r="W83" s="9" t="s">
        <v>32</v>
      </c>
      <c r="X83" s="9" t="s">
        <v>379</v>
      </c>
      <c r="Y83" s="9" t="s">
        <v>380</v>
      </c>
      <c r="Z83" s="3"/>
      <c r="AA83" s="3"/>
    </row>
    <row r="84" spans="1:27" ht="15.75" customHeight="1" x14ac:dyDescent="0.25">
      <c r="A84" s="8">
        <f t="shared" si="6"/>
        <v>45942</v>
      </c>
      <c r="B84" s="9" t="s">
        <v>381</v>
      </c>
      <c r="C84" s="10">
        <v>6609762251</v>
      </c>
      <c r="D84" s="10">
        <v>6479</v>
      </c>
      <c r="E84" s="3" t="s">
        <v>382</v>
      </c>
      <c r="F84" s="9" t="s">
        <v>383</v>
      </c>
      <c r="G84" s="11"/>
      <c r="H84" s="12">
        <v>45939</v>
      </c>
      <c r="I84" s="12">
        <v>45943</v>
      </c>
      <c r="J84" s="11">
        <v>95.55</v>
      </c>
      <c r="K84" s="3" t="s">
        <v>29</v>
      </c>
      <c r="L84" s="3"/>
      <c r="M84" s="9"/>
      <c r="N84" s="12">
        <f t="shared" si="0"/>
        <v>45957</v>
      </c>
      <c r="O84" s="9">
        <f t="shared" ca="1" si="1"/>
        <v>-58</v>
      </c>
      <c r="P84" s="13" t="str">
        <f t="shared" si="2"/>
        <v>https://secure.booking.com/confirmation.html?bn=6609762251&amp;hc_origin=search&amp;pincode=6479&amp;source=help_center</v>
      </c>
      <c r="Q84" s="9" t="s">
        <v>140</v>
      </c>
      <c r="R84" s="9" t="s">
        <v>383</v>
      </c>
      <c r="S84" s="9" t="s">
        <v>384</v>
      </c>
      <c r="T84" s="9" t="s">
        <v>385</v>
      </c>
      <c r="U84" s="9" t="s">
        <v>386</v>
      </c>
      <c r="V84" s="9"/>
      <c r="W84" s="9" t="s">
        <v>32</v>
      </c>
      <c r="X84" s="9" t="s">
        <v>387</v>
      </c>
      <c r="Y84" s="9" t="s">
        <v>388</v>
      </c>
      <c r="Z84" s="3"/>
      <c r="AA84" s="3"/>
    </row>
    <row r="85" spans="1:27" ht="15.75" customHeight="1" x14ac:dyDescent="0.25">
      <c r="A85" s="8">
        <f t="shared" si="6"/>
        <v>45943</v>
      </c>
      <c r="B85" s="9" t="s">
        <v>389</v>
      </c>
      <c r="C85" s="10">
        <v>5066413875</v>
      </c>
      <c r="D85" s="10">
        <v>9241</v>
      </c>
      <c r="E85" s="3" t="s">
        <v>390</v>
      </c>
      <c r="F85" s="9" t="s">
        <v>391</v>
      </c>
      <c r="G85" s="11"/>
      <c r="H85" s="12">
        <v>45939</v>
      </c>
      <c r="I85" s="12">
        <v>45944</v>
      </c>
      <c r="J85" s="11">
        <v>97.74</v>
      </c>
      <c r="K85" s="3" t="s">
        <v>29</v>
      </c>
      <c r="L85" s="3"/>
      <c r="M85" s="9"/>
      <c r="N85" s="12">
        <f t="shared" si="0"/>
        <v>45958</v>
      </c>
      <c r="O85" s="9">
        <f t="shared" ca="1" si="1"/>
        <v>-57</v>
      </c>
      <c r="P85" s="13" t="str">
        <f t="shared" si="2"/>
        <v>https://secure.booking.com/confirmation.html?bn=5066413875&amp;hc_origin=search&amp;pincode=9241&amp;source=help_center</v>
      </c>
      <c r="Q85" s="9" t="s">
        <v>140</v>
      </c>
      <c r="R85" s="9" t="s">
        <v>391</v>
      </c>
      <c r="S85" s="9" t="s">
        <v>384</v>
      </c>
      <c r="T85" s="9" t="s">
        <v>392</v>
      </c>
      <c r="U85" s="9" t="s">
        <v>393</v>
      </c>
      <c r="V85" s="9"/>
      <c r="W85" s="9" t="s">
        <v>32</v>
      </c>
      <c r="X85" s="9" t="s">
        <v>394</v>
      </c>
      <c r="Y85" s="9" t="s">
        <v>395</v>
      </c>
      <c r="Z85" s="3"/>
      <c r="AA85" s="3"/>
    </row>
    <row r="86" spans="1:27" ht="15.75" customHeight="1" x14ac:dyDescent="0.25">
      <c r="A86" s="8">
        <f t="shared" si="6"/>
        <v>45944</v>
      </c>
      <c r="B86" s="9" t="s">
        <v>396</v>
      </c>
      <c r="C86" s="10">
        <v>5698423564</v>
      </c>
      <c r="D86" s="10">
        <v>8138</v>
      </c>
      <c r="E86" s="3" t="s">
        <v>397</v>
      </c>
      <c r="F86" s="9" t="s">
        <v>398</v>
      </c>
      <c r="G86" s="11"/>
      <c r="H86" s="12">
        <v>45941</v>
      </c>
      <c r="I86" s="12">
        <v>45945</v>
      </c>
      <c r="J86" s="11"/>
      <c r="K86" s="3" t="s">
        <v>36</v>
      </c>
      <c r="L86" s="3"/>
      <c r="M86" s="9"/>
      <c r="N86" s="12">
        <f t="shared" si="0"/>
        <v>45959</v>
      </c>
      <c r="O86" s="9">
        <f t="shared" ca="1" si="1"/>
        <v>-56</v>
      </c>
      <c r="P86" s="13" t="str">
        <f t="shared" si="2"/>
        <v>https://secure.booking.com/confirmation.html?bn=5698423564&amp;hc_origin=search&amp;pincode=8138&amp;source=help_center</v>
      </c>
      <c r="Q86" s="9" t="s">
        <v>71</v>
      </c>
      <c r="R86" s="9" t="s">
        <v>398</v>
      </c>
      <c r="S86" s="9" t="s">
        <v>353</v>
      </c>
      <c r="T86" s="9" t="s">
        <v>399</v>
      </c>
      <c r="U86" s="9"/>
      <c r="V86" s="9"/>
      <c r="W86" s="9" t="s">
        <v>32</v>
      </c>
      <c r="X86" s="9" t="s">
        <v>400</v>
      </c>
      <c r="Y86" s="9" t="s">
        <v>401</v>
      </c>
      <c r="Z86" s="3"/>
      <c r="AA86" s="3"/>
    </row>
    <row r="87" spans="1:27" ht="15.75" customHeight="1" x14ac:dyDescent="0.25">
      <c r="A87" s="8">
        <f t="shared" si="6"/>
        <v>45945</v>
      </c>
      <c r="B87" s="9" t="s">
        <v>402</v>
      </c>
      <c r="C87" s="10">
        <v>5501038641</v>
      </c>
      <c r="D87" s="10">
        <v>2608</v>
      </c>
      <c r="E87" s="3" t="s">
        <v>403</v>
      </c>
      <c r="F87" s="9" t="s">
        <v>404</v>
      </c>
      <c r="G87" s="11"/>
      <c r="H87" s="12">
        <v>45941</v>
      </c>
      <c r="I87" s="12">
        <v>45945</v>
      </c>
      <c r="J87" s="11">
        <v>120</v>
      </c>
      <c r="K87" s="3" t="s">
        <v>29</v>
      </c>
      <c r="L87" s="3"/>
      <c r="M87" s="9"/>
      <c r="N87" s="12">
        <f t="shared" si="0"/>
        <v>45959</v>
      </c>
      <c r="O87" s="9">
        <f t="shared" ca="1" si="1"/>
        <v>-56</v>
      </c>
      <c r="P87" s="13" t="str">
        <f t="shared" si="2"/>
        <v>https://secure.booking.com/confirmation.html?bn=5501038641&amp;hc_origin=search&amp;pincode=2608&amp;source=help_center</v>
      </c>
      <c r="Q87" s="9" t="s">
        <v>140</v>
      </c>
      <c r="R87" s="9" t="s">
        <v>404</v>
      </c>
      <c r="S87" s="9" t="s">
        <v>353</v>
      </c>
      <c r="T87" s="9" t="s">
        <v>399</v>
      </c>
      <c r="U87" s="9" t="s">
        <v>183</v>
      </c>
      <c r="V87" s="9"/>
      <c r="W87" s="9" t="s">
        <v>32</v>
      </c>
      <c r="X87" s="9" t="s">
        <v>405</v>
      </c>
      <c r="Y87" s="9" t="s">
        <v>406</v>
      </c>
      <c r="Z87" s="3"/>
      <c r="AA87" s="3"/>
    </row>
    <row r="88" spans="1:27" ht="15.75" customHeight="1" x14ac:dyDescent="0.25">
      <c r="A88" s="8">
        <f t="shared" si="6"/>
        <v>45945</v>
      </c>
      <c r="B88" s="9" t="s">
        <v>407</v>
      </c>
      <c r="C88" s="10">
        <v>5143069498</v>
      </c>
      <c r="D88" s="10">
        <v>5829</v>
      </c>
      <c r="E88" s="3" t="s">
        <v>408</v>
      </c>
      <c r="F88" s="9" t="s">
        <v>409</v>
      </c>
      <c r="G88" s="11"/>
      <c r="H88" s="12">
        <v>45941</v>
      </c>
      <c r="I88" s="12">
        <v>45946</v>
      </c>
      <c r="J88" s="11"/>
      <c r="K88" s="3" t="s">
        <v>71</v>
      </c>
      <c r="L88" s="3"/>
      <c r="M88" s="9"/>
      <c r="N88" s="12">
        <f t="shared" si="0"/>
        <v>45960</v>
      </c>
      <c r="O88" s="9">
        <f t="shared" ca="1" si="1"/>
        <v>-55</v>
      </c>
      <c r="P88" s="13" t="str">
        <f t="shared" si="2"/>
        <v>https://secure.booking.com/confirmation.html?bn=5143069498&amp;hc_origin=search&amp;pincode=5829&amp;source=help_center</v>
      </c>
      <c r="Q88" s="9" t="s">
        <v>71</v>
      </c>
      <c r="R88" s="9" t="s">
        <v>409</v>
      </c>
      <c r="S88" s="9" t="s">
        <v>353</v>
      </c>
      <c r="T88" s="9" t="s">
        <v>410</v>
      </c>
      <c r="U88" s="9"/>
      <c r="V88" s="9"/>
      <c r="W88" s="9" t="s">
        <v>32</v>
      </c>
      <c r="X88" s="9" t="s">
        <v>411</v>
      </c>
      <c r="Y88" s="9" t="s">
        <v>412</v>
      </c>
      <c r="Z88" s="3"/>
      <c r="AA88" s="3"/>
    </row>
    <row r="89" spans="1:27" ht="15.75" customHeight="1" x14ac:dyDescent="0.25">
      <c r="A89" s="8">
        <f t="shared" si="6"/>
        <v>45946</v>
      </c>
      <c r="B89" s="9" t="s">
        <v>413</v>
      </c>
      <c r="C89" s="10">
        <v>5468637090</v>
      </c>
      <c r="D89" s="10">
        <v>8869</v>
      </c>
      <c r="E89" s="3" t="s">
        <v>414</v>
      </c>
      <c r="F89" s="9" t="s">
        <v>415</v>
      </c>
      <c r="G89" s="11"/>
      <c r="H89" s="12">
        <v>45945</v>
      </c>
      <c r="I89" s="12">
        <v>45947</v>
      </c>
      <c r="J89" s="11"/>
      <c r="K89" s="3" t="s">
        <v>71</v>
      </c>
      <c r="L89" s="3"/>
      <c r="M89" s="9"/>
      <c r="N89" s="12">
        <f t="shared" si="0"/>
        <v>45961</v>
      </c>
      <c r="O89" s="9">
        <f t="shared" ca="1" si="1"/>
        <v>-54</v>
      </c>
      <c r="P89" s="13" t="str">
        <f t="shared" si="2"/>
        <v>https://secure.booking.com/confirmation.html?bn=5468637090&amp;hc_origin=search&amp;pincode=8869&amp;source=help_center</v>
      </c>
      <c r="Q89" s="9" t="s">
        <v>71</v>
      </c>
      <c r="R89" s="9" t="s">
        <v>415</v>
      </c>
      <c r="S89" s="9" t="s">
        <v>399</v>
      </c>
      <c r="T89" s="9" t="s">
        <v>416</v>
      </c>
      <c r="U89" s="9" t="s">
        <v>183</v>
      </c>
      <c r="V89" s="9"/>
      <c r="W89" s="9" t="s">
        <v>32</v>
      </c>
      <c r="X89" s="9" t="s">
        <v>417</v>
      </c>
      <c r="Y89" s="9" t="s">
        <v>418</v>
      </c>
      <c r="Z89" s="3"/>
      <c r="AA89" s="3"/>
    </row>
    <row r="90" spans="1:27" ht="15.75" customHeight="1" x14ac:dyDescent="0.25">
      <c r="A90" s="8">
        <f t="shared" si="6"/>
        <v>45947</v>
      </c>
      <c r="B90" s="9" t="s">
        <v>419</v>
      </c>
      <c r="C90" s="10">
        <v>5018960908</v>
      </c>
      <c r="D90" s="10">
        <v>4099</v>
      </c>
      <c r="E90" s="3" t="s">
        <v>420</v>
      </c>
      <c r="F90" s="9" t="s">
        <v>421</v>
      </c>
      <c r="G90" s="11"/>
      <c r="H90" s="12">
        <v>45945</v>
      </c>
      <c r="I90" s="12">
        <v>45947</v>
      </c>
      <c r="J90" s="11">
        <v>120</v>
      </c>
      <c r="K90" s="3" t="s">
        <v>29</v>
      </c>
      <c r="L90" s="3"/>
      <c r="M90" s="9"/>
      <c r="N90" s="12">
        <f t="shared" si="0"/>
        <v>45961</v>
      </c>
      <c r="O90" s="9">
        <f t="shared" ca="1" si="1"/>
        <v>-54</v>
      </c>
      <c r="P90" s="13" t="str">
        <f t="shared" si="2"/>
        <v>https://secure.booking.com/confirmation.html?bn=5018960908&amp;hc_origin=search&amp;pincode=4099&amp;source=help_center</v>
      </c>
      <c r="Q90" s="9" t="s">
        <v>140</v>
      </c>
      <c r="R90" s="9" t="s">
        <v>421</v>
      </c>
      <c r="S90" s="9" t="s">
        <v>399</v>
      </c>
      <c r="T90" s="9" t="s">
        <v>416</v>
      </c>
      <c r="U90" s="9" t="s">
        <v>272</v>
      </c>
      <c r="V90" s="9"/>
      <c r="W90" s="9" t="s">
        <v>32</v>
      </c>
      <c r="X90" s="9" t="s">
        <v>422</v>
      </c>
      <c r="Y90" s="9" t="s">
        <v>423</v>
      </c>
      <c r="Z90" s="3"/>
      <c r="AA90" s="3"/>
    </row>
    <row r="91" spans="1:27" ht="15.75" customHeight="1" x14ac:dyDescent="0.25">
      <c r="A91" s="8">
        <f t="shared" si="6"/>
        <v>45947</v>
      </c>
      <c r="B91" s="9" t="s">
        <v>424</v>
      </c>
      <c r="C91" s="10">
        <v>6996908147</v>
      </c>
      <c r="D91" s="10">
        <v>677</v>
      </c>
      <c r="E91" s="3" t="s">
        <v>233</v>
      </c>
      <c r="F91" s="9" t="s">
        <v>234</v>
      </c>
      <c r="G91" s="11"/>
      <c r="H91" s="12">
        <v>45945</v>
      </c>
      <c r="I91" s="12">
        <v>45947</v>
      </c>
      <c r="J91" s="11"/>
      <c r="K91" s="3" t="s">
        <v>36</v>
      </c>
      <c r="L91" s="3"/>
      <c r="M91" s="9"/>
      <c r="N91" s="12">
        <f t="shared" si="0"/>
        <v>45961</v>
      </c>
      <c r="O91" s="9">
        <f t="shared" ca="1" si="1"/>
        <v>-54</v>
      </c>
      <c r="P91" s="13" t="str">
        <f t="shared" si="2"/>
        <v>https://secure.booking.com/confirmation.html?bn=6996908147&amp;hc_origin=search&amp;pincode=677&amp;source=help_center</v>
      </c>
      <c r="Q91" s="9" t="s">
        <v>71</v>
      </c>
      <c r="R91" s="9" t="s">
        <v>234</v>
      </c>
      <c r="S91" s="9" t="s">
        <v>399</v>
      </c>
      <c r="T91" s="9" t="s">
        <v>416</v>
      </c>
      <c r="U91" s="9"/>
      <c r="V91" s="9"/>
      <c r="W91" s="9" t="s">
        <v>32</v>
      </c>
      <c r="X91" s="9" t="s">
        <v>425</v>
      </c>
      <c r="Y91" s="9" t="s">
        <v>426</v>
      </c>
      <c r="Z91" s="3"/>
      <c r="AA91" s="3"/>
    </row>
    <row r="92" spans="1:27" ht="15.75" customHeight="1" x14ac:dyDescent="0.25">
      <c r="A92" s="8">
        <f t="shared" si="6"/>
        <v>45947</v>
      </c>
      <c r="B92" s="9" t="s">
        <v>427</v>
      </c>
      <c r="C92" s="10">
        <v>6405857349</v>
      </c>
      <c r="D92" s="10">
        <v>5486</v>
      </c>
      <c r="E92" s="3" t="s">
        <v>428</v>
      </c>
      <c r="F92" s="9" t="s">
        <v>429</v>
      </c>
      <c r="G92" s="11"/>
      <c r="H92" s="12">
        <v>45945</v>
      </c>
      <c r="I92" s="12">
        <v>45948</v>
      </c>
      <c r="J92" s="11">
        <v>120</v>
      </c>
      <c r="K92" s="3" t="s">
        <v>29</v>
      </c>
      <c r="L92" s="3"/>
      <c r="M92" s="9"/>
      <c r="N92" s="12">
        <f t="shared" si="0"/>
        <v>45962</v>
      </c>
      <c r="O92" s="9">
        <f t="shared" ca="1" si="1"/>
        <v>-53</v>
      </c>
      <c r="P92" s="13" t="str">
        <f t="shared" si="2"/>
        <v>https://secure.booking.com/confirmation.html?bn=6405857349&amp;hc_origin=search&amp;pincode=5486&amp;source=help_center</v>
      </c>
      <c r="Q92" s="9" t="s">
        <v>140</v>
      </c>
      <c r="R92" s="9" t="s">
        <v>429</v>
      </c>
      <c r="S92" s="9" t="s">
        <v>399</v>
      </c>
      <c r="T92" s="9" t="s">
        <v>430</v>
      </c>
      <c r="U92" s="9"/>
      <c r="V92" s="9"/>
      <c r="W92" s="9" t="s">
        <v>32</v>
      </c>
      <c r="X92" s="9" t="s">
        <v>431</v>
      </c>
      <c r="Y92" s="9" t="s">
        <v>432</v>
      </c>
      <c r="Z92" s="3"/>
      <c r="AA92" s="3"/>
    </row>
    <row r="93" spans="1:27" ht="15.75" customHeight="1" x14ac:dyDescent="0.25">
      <c r="A93" s="8">
        <f t="shared" si="6"/>
        <v>45948</v>
      </c>
      <c r="B93" s="9" t="s">
        <v>433</v>
      </c>
      <c r="C93" s="10">
        <v>5065656186</v>
      </c>
      <c r="D93" s="10">
        <v>4497</v>
      </c>
      <c r="E93" s="3" t="s">
        <v>73</v>
      </c>
      <c r="F93" s="9" t="s">
        <v>74</v>
      </c>
      <c r="G93" s="11"/>
      <c r="H93" s="12">
        <v>45946</v>
      </c>
      <c r="I93" s="12">
        <v>45948</v>
      </c>
      <c r="J93" s="11">
        <v>98.36</v>
      </c>
      <c r="K93" s="3" t="s">
        <v>29</v>
      </c>
      <c r="L93" s="3"/>
      <c r="M93" s="9"/>
      <c r="N93" s="12">
        <f t="shared" si="0"/>
        <v>45962</v>
      </c>
      <c r="O93" s="9">
        <f t="shared" ca="1" si="1"/>
        <v>-53</v>
      </c>
      <c r="P93" s="13" t="str">
        <f t="shared" si="2"/>
        <v>https://secure.booking.com/confirmation.html?bn=5065656186&amp;hc_origin=search&amp;pincode=4497&amp;source=help_center</v>
      </c>
      <c r="Q93" s="9" t="s">
        <v>140</v>
      </c>
      <c r="R93" s="9"/>
      <c r="S93" s="9" t="s">
        <v>164</v>
      </c>
      <c r="T93" s="9" t="s">
        <v>434</v>
      </c>
      <c r="U93" s="9"/>
      <c r="V93" s="9"/>
      <c r="W93" s="9" t="s">
        <v>32</v>
      </c>
      <c r="X93" s="9" t="s">
        <v>435</v>
      </c>
      <c r="Y93" s="9" t="s">
        <v>436</v>
      </c>
      <c r="Z93" s="3"/>
      <c r="AA93" s="3"/>
    </row>
    <row r="94" spans="1:27" ht="15.75" customHeight="1" x14ac:dyDescent="0.25">
      <c r="A94" s="8">
        <f t="shared" si="6"/>
        <v>45948</v>
      </c>
      <c r="B94" s="9" t="s">
        <v>437</v>
      </c>
      <c r="C94" s="10">
        <v>5513991983</v>
      </c>
      <c r="D94" s="10">
        <v>3823</v>
      </c>
      <c r="E94" s="3" t="s">
        <v>438</v>
      </c>
      <c r="F94" s="9" t="s">
        <v>439</v>
      </c>
      <c r="G94" s="11"/>
      <c r="H94" s="12">
        <v>45946</v>
      </c>
      <c r="I94" s="12">
        <v>45948</v>
      </c>
      <c r="J94" s="11">
        <v>120</v>
      </c>
      <c r="K94" s="3" t="s">
        <v>36</v>
      </c>
      <c r="L94" s="3"/>
      <c r="M94" s="9"/>
      <c r="N94" s="12">
        <f t="shared" si="0"/>
        <v>45962</v>
      </c>
      <c r="O94" s="9">
        <f t="shared" ca="1" si="1"/>
        <v>-53</v>
      </c>
      <c r="P94" s="13" t="str">
        <f t="shared" si="2"/>
        <v>https://secure.booking.com/confirmation.html?bn=5513991983&amp;hc_origin=search&amp;pincode=3823&amp;source=help_center</v>
      </c>
      <c r="Q94" s="9" t="s">
        <v>140</v>
      </c>
      <c r="R94" s="9" t="s">
        <v>439</v>
      </c>
      <c r="S94" s="9" t="s">
        <v>410</v>
      </c>
      <c r="T94" s="9" t="s">
        <v>430</v>
      </c>
      <c r="U94" s="9" t="s">
        <v>183</v>
      </c>
      <c r="V94" s="9"/>
      <c r="W94" s="9" t="s">
        <v>32</v>
      </c>
      <c r="X94" s="9" t="s">
        <v>440</v>
      </c>
      <c r="Y94" s="9" t="s">
        <v>441</v>
      </c>
      <c r="Z94" s="3"/>
      <c r="AA94" s="3"/>
    </row>
    <row r="95" spans="1:27" ht="15.75" customHeight="1" x14ac:dyDescent="0.25">
      <c r="A95" s="8">
        <f t="shared" si="6"/>
        <v>45948</v>
      </c>
      <c r="B95" s="9" t="s">
        <v>442</v>
      </c>
      <c r="C95" s="10">
        <v>6115166879</v>
      </c>
      <c r="D95" s="10">
        <v>363</v>
      </c>
      <c r="E95" s="3" t="s">
        <v>443</v>
      </c>
      <c r="F95" s="9" t="s">
        <v>444</v>
      </c>
      <c r="G95" s="11"/>
      <c r="H95" s="12">
        <v>45946</v>
      </c>
      <c r="I95" s="12">
        <v>45948</v>
      </c>
      <c r="J95" s="11"/>
      <c r="K95" s="3" t="s">
        <v>36</v>
      </c>
      <c r="L95" s="3"/>
      <c r="M95" s="9"/>
      <c r="N95" s="12">
        <f t="shared" si="0"/>
        <v>45962</v>
      </c>
      <c r="O95" s="9">
        <f t="shared" ca="1" si="1"/>
        <v>-53</v>
      </c>
      <c r="P95" s="13" t="str">
        <f t="shared" si="2"/>
        <v>https://secure.booking.com/confirmation.html?bn=6115166879&amp;hc_origin=search&amp;pincode=363&amp;source=help_center</v>
      </c>
      <c r="Q95" s="9" t="s">
        <v>71</v>
      </c>
      <c r="R95" s="9" t="s">
        <v>444</v>
      </c>
      <c r="S95" s="9" t="s">
        <v>410</v>
      </c>
      <c r="T95" s="9" t="s">
        <v>430</v>
      </c>
      <c r="U95" s="9"/>
      <c r="V95" s="9"/>
      <c r="W95" s="9" t="s">
        <v>32</v>
      </c>
      <c r="X95" s="9" t="s">
        <v>445</v>
      </c>
      <c r="Y95" s="9" t="s">
        <v>446</v>
      </c>
      <c r="Z95" s="3"/>
      <c r="AA95" s="3"/>
    </row>
    <row r="96" spans="1:27" ht="15.75" customHeight="1" x14ac:dyDescent="0.25">
      <c r="A96" s="8">
        <v>45948</v>
      </c>
      <c r="B96" s="3" t="s">
        <v>447</v>
      </c>
      <c r="C96" s="10" t="s">
        <v>448</v>
      </c>
      <c r="D96" s="10" t="s">
        <v>449</v>
      </c>
      <c r="E96" s="3" t="s">
        <v>450</v>
      </c>
      <c r="F96" s="3" t="s">
        <v>451</v>
      </c>
      <c r="G96" s="14"/>
      <c r="H96" s="8">
        <v>45947</v>
      </c>
      <c r="I96" s="8">
        <v>45949</v>
      </c>
      <c r="J96" s="14">
        <v>33.770000000000003</v>
      </c>
      <c r="K96" s="3" t="s">
        <v>36</v>
      </c>
      <c r="L96" s="3"/>
      <c r="M96" s="3"/>
      <c r="N96" s="12">
        <f t="shared" si="0"/>
        <v>45963</v>
      </c>
      <c r="O96" s="9">
        <f t="shared" ca="1" si="1"/>
        <v>-52</v>
      </c>
      <c r="P96" s="13" t="str">
        <f t="shared" si="2"/>
        <v>https://secure.booking.com/confirmation.html?bn=6822481816&amp;hc_origin=search&amp;pincode=6487&amp;source=help_center</v>
      </c>
      <c r="Q96" s="9" t="s">
        <v>140</v>
      </c>
      <c r="R96" s="9" t="s">
        <v>451</v>
      </c>
      <c r="S96" s="9" t="s">
        <v>416</v>
      </c>
      <c r="T96" s="9" t="s">
        <v>452</v>
      </c>
      <c r="U96" s="9" t="s">
        <v>453</v>
      </c>
      <c r="V96" s="9"/>
      <c r="W96" s="9" t="s">
        <v>32</v>
      </c>
      <c r="X96" s="9" t="s">
        <v>448</v>
      </c>
      <c r="Y96" s="9" t="s">
        <v>449</v>
      </c>
      <c r="Z96" s="3"/>
      <c r="AA96" s="3"/>
    </row>
    <row r="97" spans="1:27" ht="15.75" customHeight="1" x14ac:dyDescent="0.25">
      <c r="A97" s="8">
        <v>45948</v>
      </c>
      <c r="B97" s="3" t="s">
        <v>454</v>
      </c>
      <c r="C97" s="10" t="s">
        <v>455</v>
      </c>
      <c r="D97" s="10" t="s">
        <v>456</v>
      </c>
      <c r="E97" s="3" t="s">
        <v>457</v>
      </c>
      <c r="F97" s="3" t="s">
        <v>458</v>
      </c>
      <c r="G97" s="14"/>
      <c r="H97" s="8">
        <v>45946</v>
      </c>
      <c r="I97" s="8">
        <v>45949</v>
      </c>
      <c r="J97" s="14">
        <v>85</v>
      </c>
      <c r="K97" s="3" t="s">
        <v>29</v>
      </c>
      <c r="L97" s="3"/>
      <c r="M97" s="3"/>
      <c r="N97" s="12">
        <f t="shared" si="0"/>
        <v>45963</v>
      </c>
      <c r="O97" s="9">
        <f t="shared" ca="1" si="1"/>
        <v>-52</v>
      </c>
      <c r="P97" s="13" t="str">
        <f t="shared" si="2"/>
        <v>https://secure.booking.com/confirmation.html?bn=5815861348&amp;hc_origin=search&amp;pincode=9755&amp;source=help_center</v>
      </c>
      <c r="Q97" s="9" t="s">
        <v>140</v>
      </c>
      <c r="R97" s="9" t="s">
        <v>458</v>
      </c>
      <c r="S97" s="9" t="s">
        <v>410</v>
      </c>
      <c r="T97" s="9" t="s">
        <v>452</v>
      </c>
      <c r="U97" s="9" t="s">
        <v>272</v>
      </c>
      <c r="V97" s="9"/>
      <c r="W97" s="9" t="s">
        <v>32</v>
      </c>
      <c r="X97" s="9" t="s">
        <v>455</v>
      </c>
      <c r="Y97" s="9" t="s">
        <v>456</v>
      </c>
      <c r="Z97" s="3"/>
      <c r="AA97" s="3"/>
    </row>
    <row r="98" spans="1:27" ht="15.75" customHeight="1" x14ac:dyDescent="0.25">
      <c r="A98" s="8">
        <f t="shared" ref="A98:A100" si="7">I97</f>
        <v>45949</v>
      </c>
      <c r="B98" s="9" t="s">
        <v>459</v>
      </c>
      <c r="C98" s="10">
        <v>6115163914</v>
      </c>
      <c r="D98" s="10">
        <v>3642</v>
      </c>
      <c r="E98" s="3" t="s">
        <v>460</v>
      </c>
      <c r="F98" s="9" t="s">
        <v>461</v>
      </c>
      <c r="G98" s="11"/>
      <c r="H98" s="12">
        <v>45947</v>
      </c>
      <c r="I98" s="12">
        <v>45949</v>
      </c>
      <c r="J98" s="11">
        <v>115.16</v>
      </c>
      <c r="K98" s="3" t="s">
        <v>29</v>
      </c>
      <c r="L98" s="3"/>
      <c r="M98" s="9"/>
      <c r="N98" s="12">
        <f t="shared" si="0"/>
        <v>45963</v>
      </c>
      <c r="O98" s="9">
        <f t="shared" ca="1" si="1"/>
        <v>-52</v>
      </c>
      <c r="P98" s="13" t="str">
        <f t="shared" si="2"/>
        <v>https://secure.booking.com/confirmation.html?bn=6115163914&amp;hc_origin=search&amp;pincode=3642&amp;source=help_center</v>
      </c>
      <c r="Q98" s="9" t="s">
        <v>140</v>
      </c>
      <c r="R98" s="9" t="s">
        <v>461</v>
      </c>
      <c r="S98" s="9" t="s">
        <v>416</v>
      </c>
      <c r="T98" s="9" t="s">
        <v>452</v>
      </c>
      <c r="U98" s="9"/>
      <c r="V98" s="9"/>
      <c r="W98" s="9" t="s">
        <v>32</v>
      </c>
      <c r="X98" s="9" t="s">
        <v>462</v>
      </c>
      <c r="Y98" s="9" t="s">
        <v>463</v>
      </c>
      <c r="Z98" s="3"/>
      <c r="AA98" s="3"/>
    </row>
    <row r="99" spans="1:27" ht="15.75" customHeight="1" x14ac:dyDescent="0.25">
      <c r="A99" s="8">
        <f t="shared" si="7"/>
        <v>45949</v>
      </c>
      <c r="B99" s="9" t="s">
        <v>464</v>
      </c>
      <c r="C99" s="10">
        <v>6933792230</v>
      </c>
      <c r="D99" s="10">
        <v>2365</v>
      </c>
      <c r="E99" s="3" t="s">
        <v>382</v>
      </c>
      <c r="F99" s="9" t="s">
        <v>383</v>
      </c>
      <c r="G99" s="11"/>
      <c r="H99" s="12">
        <v>45945</v>
      </c>
      <c r="I99" s="12">
        <v>45950</v>
      </c>
      <c r="J99" s="11">
        <v>119.73</v>
      </c>
      <c r="K99" s="3" t="s">
        <v>29</v>
      </c>
      <c r="L99" s="3"/>
      <c r="M99" s="9"/>
      <c r="N99" s="12">
        <f t="shared" si="0"/>
        <v>45964</v>
      </c>
      <c r="O99" s="9">
        <f t="shared" ca="1" si="1"/>
        <v>-51</v>
      </c>
      <c r="P99" s="13" t="str">
        <f t="shared" si="2"/>
        <v>https://secure.booking.com/confirmation.html?bn=6933792230&amp;hc_origin=search&amp;pincode=2365&amp;source=help_center</v>
      </c>
      <c r="Q99" s="9" t="s">
        <v>140</v>
      </c>
      <c r="R99" s="9" t="s">
        <v>383</v>
      </c>
      <c r="S99" s="9" t="s">
        <v>399</v>
      </c>
      <c r="T99" s="9" t="s">
        <v>465</v>
      </c>
      <c r="U99" s="9" t="s">
        <v>466</v>
      </c>
      <c r="V99" s="9"/>
      <c r="W99" s="9" t="s">
        <v>32</v>
      </c>
      <c r="X99" s="9" t="s">
        <v>467</v>
      </c>
      <c r="Y99" s="9" t="s">
        <v>468</v>
      </c>
      <c r="Z99" s="3"/>
      <c r="AA99" s="3"/>
    </row>
    <row r="100" spans="1:27" ht="15.75" customHeight="1" x14ac:dyDescent="0.25">
      <c r="A100" s="8">
        <f t="shared" si="7"/>
        <v>45950</v>
      </c>
      <c r="B100" s="9" t="s">
        <v>469</v>
      </c>
      <c r="C100" s="10">
        <v>6551300755</v>
      </c>
      <c r="D100" s="10">
        <v>5750</v>
      </c>
      <c r="E100" s="3" t="s">
        <v>470</v>
      </c>
      <c r="F100" s="9" t="s">
        <v>471</v>
      </c>
      <c r="G100" s="11"/>
      <c r="H100" s="12">
        <v>45948</v>
      </c>
      <c r="I100" s="12">
        <v>45951</v>
      </c>
      <c r="J100" s="11">
        <v>120</v>
      </c>
      <c r="K100" s="3" t="s">
        <v>29</v>
      </c>
      <c r="L100" s="3"/>
      <c r="M100" s="9"/>
      <c r="N100" s="12">
        <f t="shared" si="0"/>
        <v>45965</v>
      </c>
      <c r="O100" s="9">
        <f t="shared" ca="1" si="1"/>
        <v>-50</v>
      </c>
      <c r="P100" s="13" t="str">
        <f t="shared" si="2"/>
        <v>https://secure.booking.com/confirmation.html?bn=6551300755&amp;hc_origin=search&amp;pincode=5750&amp;source=help_center</v>
      </c>
      <c r="Q100" s="9" t="s">
        <v>140</v>
      </c>
      <c r="R100" s="9" t="s">
        <v>471</v>
      </c>
      <c r="S100" s="9" t="s">
        <v>430</v>
      </c>
      <c r="T100" s="9" t="s">
        <v>472</v>
      </c>
      <c r="U100" s="9" t="s">
        <v>183</v>
      </c>
      <c r="V100" s="9"/>
      <c r="W100" s="9" t="s">
        <v>32</v>
      </c>
      <c r="X100" s="9" t="s">
        <v>473</v>
      </c>
      <c r="Y100" s="9" t="s">
        <v>474</v>
      </c>
      <c r="Z100" s="3"/>
      <c r="AA100" s="3"/>
    </row>
    <row r="101" spans="1:27" ht="15.75" customHeight="1" x14ac:dyDescent="0.25">
      <c r="A101" s="8">
        <v>45951</v>
      </c>
      <c r="B101" s="3" t="s">
        <v>475</v>
      </c>
      <c r="C101" s="10">
        <v>5228178659</v>
      </c>
      <c r="D101" s="10">
        <v>3638</v>
      </c>
      <c r="E101" s="3" t="s">
        <v>329</v>
      </c>
      <c r="F101" s="3" t="s">
        <v>330</v>
      </c>
      <c r="G101" s="14"/>
      <c r="H101" s="8">
        <v>45951</v>
      </c>
      <c r="I101" s="8">
        <v>45952</v>
      </c>
      <c r="J101" s="14">
        <v>120</v>
      </c>
      <c r="K101" s="3" t="s">
        <v>29</v>
      </c>
      <c r="L101" s="3"/>
      <c r="M101" s="3"/>
      <c r="N101" s="12">
        <f t="shared" si="0"/>
        <v>45966</v>
      </c>
      <c r="O101" s="9">
        <f t="shared" ca="1" si="1"/>
        <v>-49</v>
      </c>
      <c r="P101" s="13" t="str">
        <f t="shared" si="2"/>
        <v>https://secure.booking.com/confirmation.html?bn=5228178659&amp;hc_origin=search&amp;pincode=3638&amp;source=help_center</v>
      </c>
      <c r="Q101" s="9" t="s">
        <v>140</v>
      </c>
      <c r="R101" s="9" t="s">
        <v>330</v>
      </c>
      <c r="S101" s="9" t="s">
        <v>472</v>
      </c>
      <c r="T101" s="9" t="s">
        <v>476</v>
      </c>
      <c r="U101" s="9" t="s">
        <v>183</v>
      </c>
      <c r="V101" s="9"/>
      <c r="W101" s="9" t="s">
        <v>32</v>
      </c>
      <c r="X101" s="9" t="s">
        <v>477</v>
      </c>
      <c r="Y101" s="9" t="s">
        <v>478</v>
      </c>
      <c r="Z101" s="3"/>
      <c r="AA101" s="3"/>
    </row>
    <row r="102" spans="1:27" ht="15.75" customHeight="1" x14ac:dyDescent="0.25">
      <c r="A102" s="8">
        <f>I101</f>
        <v>45952</v>
      </c>
      <c r="B102" s="9" t="s">
        <v>479</v>
      </c>
      <c r="C102" s="10">
        <v>5920124074</v>
      </c>
      <c r="D102" s="10">
        <v>6310</v>
      </c>
      <c r="E102" s="3" t="s">
        <v>382</v>
      </c>
      <c r="F102" s="9" t="s">
        <v>383</v>
      </c>
      <c r="G102" s="11"/>
      <c r="H102" s="12">
        <v>45948</v>
      </c>
      <c r="I102" s="12">
        <v>45952</v>
      </c>
      <c r="J102" s="11">
        <v>84.89</v>
      </c>
      <c r="K102" s="3" t="s">
        <v>29</v>
      </c>
      <c r="L102" s="3"/>
      <c r="M102" s="9"/>
      <c r="N102" s="12">
        <f t="shared" si="0"/>
        <v>45966</v>
      </c>
      <c r="O102" s="9">
        <f t="shared" ca="1" si="1"/>
        <v>-49</v>
      </c>
      <c r="P102" s="13" t="str">
        <f t="shared" si="2"/>
        <v>https://secure.booking.com/confirmation.html?bn=5920124074&amp;hc_origin=search&amp;pincode=6310&amp;source=help_center</v>
      </c>
      <c r="Q102" s="9" t="s">
        <v>140</v>
      </c>
      <c r="R102" s="9" t="s">
        <v>383</v>
      </c>
      <c r="S102" s="9" t="s">
        <v>430</v>
      </c>
      <c r="T102" s="9" t="s">
        <v>476</v>
      </c>
      <c r="U102" s="9" t="s">
        <v>480</v>
      </c>
      <c r="V102" s="9"/>
      <c r="W102" s="9" t="s">
        <v>32</v>
      </c>
      <c r="X102" s="9" t="s">
        <v>481</v>
      </c>
      <c r="Y102" s="9" t="s">
        <v>482</v>
      </c>
      <c r="Z102" s="3"/>
      <c r="AA102" s="3"/>
    </row>
    <row r="103" spans="1:27" ht="15.75" customHeight="1" x14ac:dyDescent="0.25">
      <c r="A103" s="12">
        <v>45952</v>
      </c>
      <c r="B103" s="15" t="s">
        <v>328</v>
      </c>
      <c r="C103" s="10">
        <v>6908760741</v>
      </c>
      <c r="D103" s="10">
        <v>252</v>
      </c>
      <c r="E103" s="3" t="s">
        <v>329</v>
      </c>
      <c r="F103" s="3" t="s">
        <v>330</v>
      </c>
      <c r="G103" s="14">
        <v>1498.6</v>
      </c>
      <c r="H103" s="8">
        <v>45952</v>
      </c>
      <c r="I103" s="8">
        <v>45953</v>
      </c>
      <c r="J103" s="14">
        <v>85</v>
      </c>
      <c r="K103" s="3" t="s">
        <v>29</v>
      </c>
      <c r="L103" s="3" t="s">
        <v>483</v>
      </c>
      <c r="M103" s="9"/>
      <c r="N103" s="12">
        <f t="shared" si="0"/>
        <v>45967</v>
      </c>
      <c r="O103" s="9">
        <f t="shared" ca="1" si="1"/>
        <v>-48</v>
      </c>
      <c r="P103" s="13" t="str">
        <f t="shared" si="2"/>
        <v>https://secure.booking.com/confirmation.html?bn=6908760741&amp;hc_origin=search&amp;pincode=252&amp;source=help_center</v>
      </c>
      <c r="Q103" s="9" t="s">
        <v>140</v>
      </c>
      <c r="R103" s="9" t="s">
        <v>330</v>
      </c>
      <c r="S103" s="9" t="s">
        <v>476</v>
      </c>
      <c r="T103" s="9" t="s">
        <v>484</v>
      </c>
      <c r="U103" s="9"/>
      <c r="V103" s="9"/>
      <c r="W103" s="9" t="s">
        <v>32</v>
      </c>
      <c r="X103" s="9" t="s">
        <v>485</v>
      </c>
      <c r="Y103" s="9" t="s">
        <v>486</v>
      </c>
      <c r="Z103" s="3"/>
      <c r="AA103" s="3"/>
    </row>
    <row r="104" spans="1:27" ht="15.75" customHeight="1" x14ac:dyDescent="0.25">
      <c r="A104" s="8">
        <f t="shared" ref="A104:A105" si="8">I103</f>
        <v>45953</v>
      </c>
      <c r="B104" s="9" t="s">
        <v>487</v>
      </c>
      <c r="C104" s="10">
        <v>6426372817</v>
      </c>
      <c r="D104" s="10">
        <v>4541</v>
      </c>
      <c r="E104" s="3" t="s">
        <v>488</v>
      </c>
      <c r="F104" s="9" t="s">
        <v>489</v>
      </c>
      <c r="G104" s="11"/>
      <c r="H104" s="12">
        <v>45951</v>
      </c>
      <c r="I104" s="12">
        <v>45953</v>
      </c>
      <c r="J104" s="11">
        <v>47.41</v>
      </c>
      <c r="K104" s="3" t="s">
        <v>36</v>
      </c>
      <c r="L104" s="3"/>
      <c r="M104" s="9"/>
      <c r="N104" s="12">
        <f t="shared" si="0"/>
        <v>45967</v>
      </c>
      <c r="O104" s="9">
        <f t="shared" ca="1" si="1"/>
        <v>-48</v>
      </c>
      <c r="P104" s="13" t="str">
        <f t="shared" si="2"/>
        <v>https://secure.booking.com/confirmation.html?bn=6426372817&amp;hc_origin=search&amp;pincode=4541&amp;source=help_center</v>
      </c>
      <c r="Q104" s="9" t="s">
        <v>140</v>
      </c>
      <c r="R104" s="9" t="s">
        <v>489</v>
      </c>
      <c r="S104" s="9" t="s">
        <v>472</v>
      </c>
      <c r="T104" s="9" t="s">
        <v>484</v>
      </c>
      <c r="U104" s="9"/>
      <c r="V104" s="9"/>
      <c r="W104" s="9" t="s">
        <v>32</v>
      </c>
      <c r="X104" s="9" t="s">
        <v>490</v>
      </c>
      <c r="Y104" s="9" t="s">
        <v>491</v>
      </c>
      <c r="Z104" s="3"/>
      <c r="AA104" s="3"/>
    </row>
    <row r="105" spans="1:27" ht="15.75" customHeight="1" x14ac:dyDescent="0.25">
      <c r="A105" s="8">
        <f t="shared" si="8"/>
        <v>45953</v>
      </c>
      <c r="B105" s="9" t="s">
        <v>492</v>
      </c>
      <c r="C105" s="10">
        <v>5720085155</v>
      </c>
      <c r="D105" s="10">
        <v>569</v>
      </c>
      <c r="E105" s="3" t="s">
        <v>493</v>
      </c>
      <c r="F105" s="9" t="s">
        <v>494</v>
      </c>
      <c r="G105" s="11"/>
      <c r="H105" s="12">
        <v>45948</v>
      </c>
      <c r="I105" s="12">
        <v>45953</v>
      </c>
      <c r="J105" s="11"/>
      <c r="K105" s="3" t="s">
        <v>29</v>
      </c>
      <c r="L105" s="3"/>
      <c r="M105" s="9"/>
      <c r="N105" s="12">
        <f t="shared" si="0"/>
        <v>45967</v>
      </c>
      <c r="O105" s="9">
        <f t="shared" ca="1" si="1"/>
        <v>-48</v>
      </c>
      <c r="P105" s="13" t="str">
        <f t="shared" si="2"/>
        <v>https://secure.booking.com/confirmation.html?bn=5720085155&amp;hc_origin=search&amp;pincode=569&amp;source=help_center</v>
      </c>
      <c r="Q105" s="9" t="s">
        <v>140</v>
      </c>
      <c r="R105" s="9" t="s">
        <v>494</v>
      </c>
      <c r="S105" s="9" t="s">
        <v>430</v>
      </c>
      <c r="T105" s="9" t="s">
        <v>484</v>
      </c>
      <c r="U105" s="9"/>
      <c r="V105" s="9"/>
      <c r="W105" s="9" t="s">
        <v>32</v>
      </c>
      <c r="X105" s="9" t="s">
        <v>495</v>
      </c>
      <c r="Y105" s="9" t="s">
        <v>496</v>
      </c>
      <c r="Z105" s="3"/>
      <c r="AA105" s="3"/>
    </row>
    <row r="106" spans="1:27" ht="15.75" customHeight="1" x14ac:dyDescent="0.25">
      <c r="A106" s="12">
        <v>45953</v>
      </c>
      <c r="B106" s="3" t="s">
        <v>424</v>
      </c>
      <c r="C106" s="10">
        <v>6908771956</v>
      </c>
      <c r="D106" s="10">
        <v>8197</v>
      </c>
      <c r="E106" s="3" t="s">
        <v>233</v>
      </c>
      <c r="F106" s="3" t="s">
        <v>234</v>
      </c>
      <c r="G106" s="14">
        <v>1159.5</v>
      </c>
      <c r="H106" s="8">
        <v>45953</v>
      </c>
      <c r="I106" s="8">
        <v>45954</v>
      </c>
      <c r="J106" s="14">
        <v>115.95</v>
      </c>
      <c r="K106" s="3" t="s">
        <v>36</v>
      </c>
      <c r="L106" s="3" t="s">
        <v>483</v>
      </c>
      <c r="M106" s="9"/>
      <c r="N106" s="12">
        <f t="shared" si="0"/>
        <v>45968</v>
      </c>
      <c r="O106" s="9">
        <f t="shared" ca="1" si="1"/>
        <v>-47</v>
      </c>
      <c r="P106" s="13" t="str">
        <f t="shared" si="2"/>
        <v>https://secure.booking.com/confirmation.html?bn=6908771956&amp;hc_origin=search&amp;pincode=8197&amp;source=help_center</v>
      </c>
      <c r="Q106" s="9" t="s">
        <v>71</v>
      </c>
      <c r="R106" s="9" t="s">
        <v>234</v>
      </c>
      <c r="S106" s="9" t="s">
        <v>484</v>
      </c>
      <c r="T106" s="9" t="s">
        <v>497</v>
      </c>
      <c r="U106" s="9"/>
      <c r="V106" s="9"/>
      <c r="W106" s="9" t="s">
        <v>32</v>
      </c>
      <c r="X106" s="9" t="s">
        <v>498</v>
      </c>
      <c r="Y106" s="9" t="s">
        <v>499</v>
      </c>
      <c r="Z106" s="3"/>
      <c r="AA106" s="3"/>
    </row>
    <row r="107" spans="1:27" ht="15.75" customHeight="1" x14ac:dyDescent="0.25">
      <c r="A107" s="12">
        <v>45952</v>
      </c>
      <c r="B107" s="3" t="s">
        <v>237</v>
      </c>
      <c r="C107" s="10">
        <v>5930690433</v>
      </c>
      <c r="D107" s="10">
        <v>5599</v>
      </c>
      <c r="E107" s="3" t="s">
        <v>181</v>
      </c>
      <c r="F107" s="3" t="s">
        <v>182</v>
      </c>
      <c r="G107" s="14">
        <v>1307.54</v>
      </c>
      <c r="H107" s="8">
        <v>45952</v>
      </c>
      <c r="I107" s="8">
        <v>45955</v>
      </c>
      <c r="J107" s="14">
        <v>85</v>
      </c>
      <c r="K107" s="3" t="s">
        <v>36</v>
      </c>
      <c r="L107" s="3" t="s">
        <v>30</v>
      </c>
      <c r="M107" s="9"/>
      <c r="N107" s="12">
        <f t="shared" si="0"/>
        <v>45969</v>
      </c>
      <c r="O107" s="9">
        <f t="shared" ca="1" si="1"/>
        <v>-46</v>
      </c>
      <c r="P107" s="13" t="str">
        <f t="shared" si="2"/>
        <v>https://secure.booking.com/confirmation.html?bn=5930690433&amp;hc_origin=search&amp;pincode=5599&amp;source=help_center</v>
      </c>
      <c r="Q107" s="9" t="s">
        <v>71</v>
      </c>
      <c r="R107" s="9" t="s">
        <v>182</v>
      </c>
      <c r="S107" s="9" t="s">
        <v>476</v>
      </c>
      <c r="T107" s="9" t="s">
        <v>500</v>
      </c>
      <c r="U107" s="9"/>
      <c r="V107" s="9"/>
      <c r="W107" s="9" t="s">
        <v>32</v>
      </c>
      <c r="X107" s="9" t="s">
        <v>501</v>
      </c>
      <c r="Y107" s="9" t="s">
        <v>502</v>
      </c>
      <c r="Z107" s="3"/>
      <c r="AA107" s="3"/>
    </row>
    <row r="108" spans="1:27" ht="15.75" customHeight="1" x14ac:dyDescent="0.25">
      <c r="A108" s="12">
        <v>45952</v>
      </c>
      <c r="B108" s="15" t="s">
        <v>333</v>
      </c>
      <c r="C108" s="10">
        <v>5665012606</v>
      </c>
      <c r="D108" s="10">
        <v>9960</v>
      </c>
      <c r="E108" s="3" t="s">
        <v>334</v>
      </c>
      <c r="F108" s="3" t="s">
        <v>335</v>
      </c>
      <c r="G108" s="14">
        <v>1256.26</v>
      </c>
      <c r="H108" s="8">
        <v>45952</v>
      </c>
      <c r="I108" s="8">
        <v>45956</v>
      </c>
      <c r="J108" s="14">
        <v>85</v>
      </c>
      <c r="K108" s="3" t="s">
        <v>36</v>
      </c>
      <c r="L108" s="3" t="s">
        <v>483</v>
      </c>
      <c r="M108" s="9"/>
      <c r="N108" s="12">
        <f t="shared" si="0"/>
        <v>45970</v>
      </c>
      <c r="O108" s="9">
        <f t="shared" ca="1" si="1"/>
        <v>-45</v>
      </c>
      <c r="P108" s="13" t="str">
        <f t="shared" si="2"/>
        <v>https://secure.booking.com/confirmation.html?bn=5665012606&amp;hc_origin=search&amp;pincode=9960&amp;source=help_center</v>
      </c>
      <c r="Q108" s="9" t="s">
        <v>71</v>
      </c>
      <c r="R108" s="9" t="s">
        <v>335</v>
      </c>
      <c r="S108" s="9" t="s">
        <v>476</v>
      </c>
      <c r="T108" s="9" t="s">
        <v>503</v>
      </c>
      <c r="U108" s="9"/>
      <c r="V108" s="9"/>
      <c r="W108" s="9" t="s">
        <v>32</v>
      </c>
      <c r="X108" s="9" t="s">
        <v>504</v>
      </c>
      <c r="Y108" s="9" t="s">
        <v>505</v>
      </c>
      <c r="Z108" s="3"/>
      <c r="AA108" s="3"/>
    </row>
    <row r="109" spans="1:27" ht="15.75" customHeight="1" x14ac:dyDescent="0.25">
      <c r="A109" s="12">
        <v>45952</v>
      </c>
      <c r="B109" s="15" t="s">
        <v>275</v>
      </c>
      <c r="C109" s="10">
        <v>6993253243</v>
      </c>
      <c r="D109" s="10">
        <v>2180</v>
      </c>
      <c r="E109" s="3" t="s">
        <v>276</v>
      </c>
      <c r="F109" s="3" t="s">
        <v>277</v>
      </c>
      <c r="G109" s="14">
        <v>1314.25</v>
      </c>
      <c r="H109" s="8">
        <v>45952</v>
      </c>
      <c r="I109" s="8">
        <v>45956</v>
      </c>
      <c r="J109" s="14">
        <v>120</v>
      </c>
      <c r="K109" s="3" t="s">
        <v>29</v>
      </c>
      <c r="L109" s="3" t="s">
        <v>30</v>
      </c>
      <c r="M109" s="9"/>
      <c r="N109" s="12">
        <f t="shared" si="0"/>
        <v>45970</v>
      </c>
      <c r="O109" s="9">
        <f t="shared" ca="1" si="1"/>
        <v>-45</v>
      </c>
      <c r="P109" s="13" t="str">
        <f t="shared" si="2"/>
        <v>https://secure.booking.com/confirmation.html?bn=6993253243&amp;hc_origin=search&amp;pincode=2180&amp;source=help_center</v>
      </c>
      <c r="Q109" s="9" t="s">
        <v>140</v>
      </c>
      <c r="R109" s="9" t="s">
        <v>277</v>
      </c>
      <c r="S109" s="9" t="s">
        <v>476</v>
      </c>
      <c r="T109" s="9" t="s">
        <v>503</v>
      </c>
      <c r="U109" s="9" t="s">
        <v>183</v>
      </c>
      <c r="V109" s="9"/>
      <c r="W109" s="9" t="s">
        <v>32</v>
      </c>
      <c r="X109" s="9" t="s">
        <v>506</v>
      </c>
      <c r="Y109" s="9" t="s">
        <v>507</v>
      </c>
      <c r="Z109" s="3"/>
      <c r="AA109" s="3"/>
    </row>
    <row r="110" spans="1:27" ht="15.75" customHeight="1" x14ac:dyDescent="0.25">
      <c r="A110" s="12">
        <v>45953</v>
      </c>
      <c r="B110" s="15" t="s">
        <v>419</v>
      </c>
      <c r="C110" s="10">
        <v>6492128654</v>
      </c>
      <c r="D110" s="10">
        <v>541</v>
      </c>
      <c r="E110" s="3" t="s">
        <v>420</v>
      </c>
      <c r="F110" s="3" t="s">
        <v>421</v>
      </c>
      <c r="G110" s="14">
        <v>1557.37</v>
      </c>
      <c r="H110" s="8">
        <v>45953</v>
      </c>
      <c r="I110" s="8">
        <v>45956</v>
      </c>
      <c r="J110" s="14">
        <v>85</v>
      </c>
      <c r="K110" s="3" t="s">
        <v>29</v>
      </c>
      <c r="L110" s="3" t="s">
        <v>30</v>
      </c>
      <c r="M110" s="9"/>
      <c r="N110" s="12">
        <f t="shared" si="0"/>
        <v>45970</v>
      </c>
      <c r="O110" s="9">
        <f t="shared" ca="1" si="1"/>
        <v>-45</v>
      </c>
      <c r="P110" s="13" t="str">
        <f t="shared" si="2"/>
        <v>https://secure.booking.com/confirmation.html?bn=6492128654&amp;hc_origin=search&amp;pincode=541&amp;source=help_center</v>
      </c>
      <c r="Q110" s="9" t="s">
        <v>140</v>
      </c>
      <c r="R110" s="9" t="s">
        <v>421</v>
      </c>
      <c r="S110" s="9" t="s">
        <v>484</v>
      </c>
      <c r="T110" s="9" t="s">
        <v>503</v>
      </c>
      <c r="U110" s="9"/>
      <c r="V110" s="9"/>
      <c r="W110" s="9" t="s">
        <v>32</v>
      </c>
      <c r="X110" s="9" t="s">
        <v>508</v>
      </c>
      <c r="Y110" s="9" t="s">
        <v>509</v>
      </c>
      <c r="Z110" s="3"/>
      <c r="AA110" s="3"/>
    </row>
    <row r="111" spans="1:27" ht="15.75" customHeight="1" x14ac:dyDescent="0.25">
      <c r="A111" s="8">
        <v>45954</v>
      </c>
      <c r="B111" s="9" t="s">
        <v>487</v>
      </c>
      <c r="C111" s="10">
        <v>6473242780</v>
      </c>
      <c r="D111" s="10">
        <v>1460</v>
      </c>
      <c r="E111" s="3" t="s">
        <v>488</v>
      </c>
      <c r="F111" s="9" t="s">
        <v>489</v>
      </c>
      <c r="G111" s="11">
        <v>1584.97</v>
      </c>
      <c r="H111" s="12">
        <v>45954</v>
      </c>
      <c r="I111" s="12">
        <v>45956</v>
      </c>
      <c r="J111" s="11">
        <v>120</v>
      </c>
      <c r="K111" s="3" t="s">
        <v>36</v>
      </c>
      <c r="L111" s="3" t="s">
        <v>30</v>
      </c>
      <c r="M111" s="9"/>
      <c r="N111" s="12">
        <f t="shared" si="0"/>
        <v>45970</v>
      </c>
      <c r="O111" s="9">
        <f t="shared" ca="1" si="1"/>
        <v>-45</v>
      </c>
      <c r="P111" s="13" t="str">
        <f t="shared" si="2"/>
        <v>https://secure.booking.com/confirmation.html?bn=6473242780&amp;hc_origin=search&amp;pincode=1460&amp;source=help_center</v>
      </c>
      <c r="Q111" s="9" t="s">
        <v>31</v>
      </c>
      <c r="R111" s="9"/>
      <c r="S111" s="9"/>
      <c r="T111" s="9"/>
      <c r="U111" s="9"/>
      <c r="V111" s="9"/>
      <c r="W111" s="9" t="s">
        <v>32</v>
      </c>
      <c r="X111" s="9"/>
      <c r="Y111" s="9"/>
      <c r="Z111" s="3"/>
      <c r="AA111" s="3"/>
    </row>
    <row r="112" spans="1:27" ht="15.75" customHeight="1" x14ac:dyDescent="0.25">
      <c r="A112" s="12">
        <v>45953</v>
      </c>
      <c r="B112" s="15" t="s">
        <v>402</v>
      </c>
      <c r="C112" s="10">
        <v>6313053646</v>
      </c>
      <c r="D112" s="10">
        <v>6654</v>
      </c>
      <c r="E112" s="3" t="s">
        <v>403</v>
      </c>
      <c r="F112" s="3" t="s">
        <v>404</v>
      </c>
      <c r="G112" s="14">
        <v>1282.24</v>
      </c>
      <c r="H112" s="8">
        <v>45953</v>
      </c>
      <c r="I112" s="8">
        <v>45957</v>
      </c>
      <c r="J112" s="14">
        <v>85</v>
      </c>
      <c r="K112" s="3" t="s">
        <v>29</v>
      </c>
      <c r="L112" s="3" t="s">
        <v>30</v>
      </c>
      <c r="M112" s="9"/>
      <c r="N112" s="12">
        <f t="shared" si="0"/>
        <v>45971</v>
      </c>
      <c r="O112" s="9">
        <f t="shared" ca="1" si="1"/>
        <v>-44</v>
      </c>
      <c r="P112" s="13" t="str">
        <f t="shared" si="2"/>
        <v>https://secure.booking.com/confirmation.html?bn=6313053646&amp;hc_origin=search&amp;pincode=6654&amp;source=help_center</v>
      </c>
      <c r="Q112" s="9" t="s">
        <v>140</v>
      </c>
      <c r="R112" s="9" t="s">
        <v>404</v>
      </c>
      <c r="S112" s="9" t="s">
        <v>484</v>
      </c>
      <c r="T112" s="9" t="s">
        <v>510</v>
      </c>
      <c r="U112" s="9" t="s">
        <v>272</v>
      </c>
      <c r="V112" s="9"/>
      <c r="W112" s="9" t="s">
        <v>32</v>
      </c>
      <c r="X112" s="9" t="s">
        <v>511</v>
      </c>
      <c r="Y112" s="9" t="s">
        <v>512</v>
      </c>
      <c r="Z112" s="3"/>
      <c r="AA112" s="3"/>
    </row>
    <row r="113" spans="1:27" ht="15.75" customHeight="1" x14ac:dyDescent="0.25">
      <c r="A113" s="8">
        <f>I112</f>
        <v>45957</v>
      </c>
      <c r="B113" s="9" t="s">
        <v>513</v>
      </c>
      <c r="C113" s="10">
        <v>6847300190</v>
      </c>
      <c r="D113" s="10">
        <v>4213</v>
      </c>
      <c r="E113" s="3" t="s">
        <v>514</v>
      </c>
      <c r="F113" s="9" t="s">
        <v>515</v>
      </c>
      <c r="G113" s="11"/>
      <c r="H113" s="12">
        <v>45906</v>
      </c>
      <c r="I113" s="12">
        <v>45907</v>
      </c>
      <c r="J113" s="11">
        <v>582</v>
      </c>
      <c r="K113" s="3" t="s">
        <v>29</v>
      </c>
      <c r="L113" s="3"/>
      <c r="M113" s="9"/>
      <c r="N113" s="12">
        <f>I113+64</f>
        <v>45971</v>
      </c>
      <c r="O113" s="9">
        <f t="shared" ca="1" si="1"/>
        <v>-44</v>
      </c>
      <c r="P113" s="13" t="str">
        <f t="shared" si="2"/>
        <v>https://secure.booking.com/confirmation.html?bn=6847300190&amp;hc_origin=search&amp;pincode=4213&amp;source=help_center</v>
      </c>
      <c r="Q113" s="9" t="s">
        <v>140</v>
      </c>
      <c r="R113" s="9" t="s">
        <v>516</v>
      </c>
      <c r="S113" s="9" t="s">
        <v>517</v>
      </c>
      <c r="T113" s="9" t="s">
        <v>110</v>
      </c>
      <c r="U113" s="9"/>
      <c r="V113" s="9" t="s">
        <v>518</v>
      </c>
      <c r="W113" s="9" t="s">
        <v>32</v>
      </c>
      <c r="X113" s="9" t="s">
        <v>519</v>
      </c>
      <c r="Y113" s="9" t="s">
        <v>520</v>
      </c>
      <c r="Z113" s="3"/>
      <c r="AA113" s="3"/>
    </row>
    <row r="114" spans="1:27" ht="15.75" customHeight="1" x14ac:dyDescent="0.25">
      <c r="A114" s="8">
        <v>45954</v>
      </c>
      <c r="B114" s="9" t="s">
        <v>469</v>
      </c>
      <c r="C114" s="10">
        <v>6417044960</v>
      </c>
      <c r="D114" s="10">
        <v>1993</v>
      </c>
      <c r="E114" s="3" t="s">
        <v>521</v>
      </c>
      <c r="F114" s="9" t="s">
        <v>522</v>
      </c>
      <c r="G114" s="11">
        <v>1176.6600000000001</v>
      </c>
      <c r="H114" s="12">
        <v>45954</v>
      </c>
      <c r="I114" s="12">
        <v>45957</v>
      </c>
      <c r="J114" s="11">
        <v>118</v>
      </c>
      <c r="K114" s="3" t="s">
        <v>29</v>
      </c>
      <c r="L114" s="3" t="s">
        <v>30</v>
      </c>
      <c r="M114" s="9"/>
      <c r="N114" s="12">
        <f t="shared" ref="N114:N116" si="9">I114+14</f>
        <v>45971</v>
      </c>
      <c r="O114" s="9">
        <f t="shared" ca="1" si="1"/>
        <v>-44</v>
      </c>
      <c r="P114" s="13" t="str">
        <f t="shared" si="2"/>
        <v>https://secure.booking.com/confirmation.html?bn=6417044960&amp;hc_origin=search&amp;pincode=1993&amp;source=help_center</v>
      </c>
      <c r="Q114" s="9" t="s">
        <v>31</v>
      </c>
      <c r="R114" s="9"/>
      <c r="S114" s="9"/>
      <c r="T114" s="9"/>
      <c r="U114" s="9"/>
      <c r="V114" s="9"/>
      <c r="W114" s="9" t="s">
        <v>32</v>
      </c>
      <c r="X114" s="9"/>
      <c r="Y114" s="9"/>
      <c r="Z114" s="3"/>
      <c r="AA114" s="3"/>
    </row>
    <row r="115" spans="1:27" ht="15.75" customHeight="1" x14ac:dyDescent="0.25">
      <c r="A115" s="8">
        <v>45954</v>
      </c>
      <c r="B115" s="9" t="s">
        <v>464</v>
      </c>
      <c r="C115" s="10">
        <v>5462071323</v>
      </c>
      <c r="D115" s="10">
        <v>7340</v>
      </c>
      <c r="E115" s="3" t="s">
        <v>382</v>
      </c>
      <c r="F115" s="9" t="s">
        <v>383</v>
      </c>
      <c r="G115" s="11">
        <v>1197.33</v>
      </c>
      <c r="H115" s="12">
        <v>45954</v>
      </c>
      <c r="I115" s="12">
        <v>45959</v>
      </c>
      <c r="J115" s="11">
        <v>100</v>
      </c>
      <c r="K115" s="3" t="s">
        <v>48</v>
      </c>
      <c r="L115" s="3" t="s">
        <v>30</v>
      </c>
      <c r="M115" s="9"/>
      <c r="N115" s="12">
        <f t="shared" si="9"/>
        <v>45973</v>
      </c>
      <c r="O115" s="9">
        <f t="shared" ca="1" si="1"/>
        <v>-42</v>
      </c>
      <c r="P115" s="13" t="str">
        <f t="shared" si="2"/>
        <v>https://secure.booking.com/confirmation.html?bn=5462071323&amp;hc_origin=search&amp;pincode=7340&amp;source=help_center</v>
      </c>
      <c r="Q115" s="9" t="s">
        <v>31</v>
      </c>
      <c r="R115" s="9"/>
      <c r="S115" s="9"/>
      <c r="T115" s="9"/>
      <c r="U115" s="9"/>
      <c r="V115" s="9"/>
      <c r="W115" s="9" t="s">
        <v>32</v>
      </c>
      <c r="X115" s="9"/>
      <c r="Y115" s="9"/>
      <c r="Z115" s="3"/>
      <c r="AA115" s="3"/>
    </row>
    <row r="116" spans="1:27" ht="15.75" customHeight="1" x14ac:dyDescent="0.25">
      <c r="A116" s="8">
        <v>45954</v>
      </c>
      <c r="B116" s="9" t="s">
        <v>479</v>
      </c>
      <c r="C116" s="10">
        <v>6362348630</v>
      </c>
      <c r="D116" s="10">
        <v>9871</v>
      </c>
      <c r="E116" s="3" t="s">
        <v>523</v>
      </c>
      <c r="F116" s="9" t="s">
        <v>524</v>
      </c>
      <c r="G116" s="11">
        <v>1139.0899999999999</v>
      </c>
      <c r="H116" s="12">
        <v>45954</v>
      </c>
      <c r="I116" s="12">
        <v>45959</v>
      </c>
      <c r="J116" s="11">
        <v>114</v>
      </c>
      <c r="K116" s="3" t="s">
        <v>29</v>
      </c>
      <c r="L116" s="3" t="s">
        <v>30</v>
      </c>
      <c r="M116" s="9" t="s">
        <v>525</v>
      </c>
      <c r="N116" s="12">
        <f t="shared" si="9"/>
        <v>45973</v>
      </c>
      <c r="O116" s="9">
        <f t="shared" ca="1" si="1"/>
        <v>-42</v>
      </c>
      <c r="P116" s="13" t="str">
        <f t="shared" si="2"/>
        <v>https://secure.booking.com/confirmation.html?bn=6362348630&amp;hc_origin=search&amp;pincode=9871&amp;source=help_center</v>
      </c>
      <c r="Q116" s="9" t="s">
        <v>31</v>
      </c>
      <c r="R116" s="9"/>
      <c r="S116" s="9"/>
      <c r="T116" s="9"/>
      <c r="U116" s="9"/>
      <c r="V116" s="9"/>
      <c r="W116" s="9" t="s">
        <v>32</v>
      </c>
      <c r="X116" s="9"/>
      <c r="Y116" s="9"/>
      <c r="Z116" s="3"/>
      <c r="AA116" s="3"/>
    </row>
    <row r="117" spans="1:27" ht="15.75" customHeight="1" x14ac:dyDescent="0.25">
      <c r="A117" s="8">
        <f t="shared" ref="A117:A118" si="10">I116</f>
        <v>45959</v>
      </c>
      <c r="B117" s="9" t="s">
        <v>526</v>
      </c>
      <c r="C117" s="10">
        <v>6035594766</v>
      </c>
      <c r="D117" s="10">
        <v>3595</v>
      </c>
      <c r="E117" s="3" t="s">
        <v>527</v>
      </c>
      <c r="F117" s="9" t="s">
        <v>528</v>
      </c>
      <c r="G117" s="11"/>
      <c r="H117" s="12">
        <v>45907</v>
      </c>
      <c r="I117" s="12">
        <v>45910</v>
      </c>
      <c r="J117" s="11">
        <v>310</v>
      </c>
      <c r="K117" s="3" t="s">
        <v>29</v>
      </c>
      <c r="L117" s="3"/>
      <c r="M117" s="9"/>
      <c r="N117" s="12">
        <f>I117+64</f>
        <v>45974</v>
      </c>
      <c r="O117" s="9">
        <f t="shared" ca="1" si="1"/>
        <v>-41</v>
      </c>
      <c r="P117" s="13" t="str">
        <f t="shared" si="2"/>
        <v>https://secure.booking.com/confirmation.html?bn=6035594766&amp;hc_origin=search&amp;pincode=3595&amp;source=help_center</v>
      </c>
      <c r="Q117" s="9" t="s">
        <v>140</v>
      </c>
      <c r="R117" s="9" t="s">
        <v>528</v>
      </c>
      <c r="S117" s="9" t="s">
        <v>110</v>
      </c>
      <c r="T117" s="9" t="s">
        <v>116</v>
      </c>
      <c r="U117" s="9"/>
      <c r="V117" s="9" t="s">
        <v>529</v>
      </c>
      <c r="W117" s="9" t="s">
        <v>32</v>
      </c>
      <c r="X117" s="9" t="s">
        <v>530</v>
      </c>
      <c r="Y117" s="9" t="s">
        <v>531</v>
      </c>
      <c r="Z117" s="3"/>
      <c r="AA117" s="3"/>
    </row>
    <row r="118" spans="1:27" ht="15.75" hidden="1" customHeight="1" x14ac:dyDescent="0.25">
      <c r="A118" s="8">
        <f t="shared" si="10"/>
        <v>45910</v>
      </c>
      <c r="B118" s="9" t="s">
        <v>454</v>
      </c>
      <c r="C118" s="10">
        <v>5815861348</v>
      </c>
      <c r="D118" s="10">
        <v>9755</v>
      </c>
      <c r="E118" s="3" t="s">
        <v>457</v>
      </c>
      <c r="F118" s="9" t="s">
        <v>458</v>
      </c>
      <c r="G118" s="11"/>
      <c r="H118" s="12">
        <v>45946</v>
      </c>
      <c r="I118" s="12">
        <v>45949</v>
      </c>
      <c r="J118" s="11">
        <v>120</v>
      </c>
      <c r="K118" s="3" t="s">
        <v>29</v>
      </c>
      <c r="L118" s="3"/>
      <c r="M118" s="9"/>
      <c r="N118" s="12">
        <f t="shared" ref="N118:N145" si="11">I118+14</f>
        <v>45963</v>
      </c>
      <c r="O118" s="9">
        <f t="shared" ca="1" si="1"/>
        <v>-52</v>
      </c>
      <c r="P118" s="13" t="str">
        <f t="shared" si="2"/>
        <v>https://secure.booking.com/confirmation.html?bn=5815861348&amp;hc_origin=search&amp;pincode=9755&amp;source=help_center</v>
      </c>
      <c r="Q118" s="9" t="s">
        <v>140</v>
      </c>
      <c r="R118" s="9" t="s">
        <v>458</v>
      </c>
      <c r="S118" s="9" t="s">
        <v>410</v>
      </c>
      <c r="T118" s="9" t="s">
        <v>452</v>
      </c>
      <c r="U118" s="9" t="s">
        <v>272</v>
      </c>
      <c r="V118" s="9"/>
      <c r="W118" s="9" t="s">
        <v>32</v>
      </c>
      <c r="X118" s="9" t="s">
        <v>455</v>
      </c>
      <c r="Y118" s="9" t="s">
        <v>456</v>
      </c>
      <c r="Z118" s="3"/>
      <c r="AA118" s="3"/>
    </row>
    <row r="119" spans="1:27" ht="15.75" customHeight="1" x14ac:dyDescent="0.25">
      <c r="A119" s="8">
        <v>45957</v>
      </c>
      <c r="B119" s="13" t="s">
        <v>381</v>
      </c>
      <c r="C119" s="10">
        <v>5332714189</v>
      </c>
      <c r="D119" s="10">
        <v>1482</v>
      </c>
      <c r="E119" s="3" t="s">
        <v>155</v>
      </c>
      <c r="F119" s="9" t="s">
        <v>156</v>
      </c>
      <c r="G119" s="11">
        <v>1260.23</v>
      </c>
      <c r="H119" s="12">
        <v>45957</v>
      </c>
      <c r="I119" s="12">
        <v>45962</v>
      </c>
      <c r="J119" s="11">
        <v>85</v>
      </c>
      <c r="K119" s="3" t="s">
        <v>29</v>
      </c>
      <c r="L119" s="3" t="s">
        <v>30</v>
      </c>
      <c r="M119" s="9"/>
      <c r="N119" s="12">
        <f t="shared" si="11"/>
        <v>45976</v>
      </c>
      <c r="O119" s="9">
        <f t="shared" ca="1" si="1"/>
        <v>-39</v>
      </c>
      <c r="P119" s="13" t="str">
        <f t="shared" si="2"/>
        <v>https://secure.booking.com/confirmation.html?bn=5332714189&amp;hc_origin=search&amp;pincode=1482&amp;source=help_center</v>
      </c>
      <c r="Q119" s="9" t="s">
        <v>31</v>
      </c>
      <c r="R119" s="9"/>
      <c r="S119" s="9"/>
      <c r="T119" s="9"/>
      <c r="U119" s="9"/>
      <c r="V119" s="9"/>
      <c r="W119" s="9" t="s">
        <v>32</v>
      </c>
      <c r="X119" s="9"/>
      <c r="Y119" s="9"/>
      <c r="Z119" s="3"/>
      <c r="AA119" s="3"/>
    </row>
    <row r="120" spans="1:27" ht="15.75" customHeight="1" x14ac:dyDescent="0.25">
      <c r="A120" s="8">
        <v>45958</v>
      </c>
      <c r="B120" s="13" t="s">
        <v>78</v>
      </c>
      <c r="C120" s="10">
        <v>6361992476</v>
      </c>
      <c r="D120" s="10">
        <v>9692</v>
      </c>
      <c r="E120" s="3" t="s">
        <v>63</v>
      </c>
      <c r="F120" s="9" t="s">
        <v>64</v>
      </c>
      <c r="G120" s="11">
        <v>961.82</v>
      </c>
      <c r="H120" s="12">
        <v>45958</v>
      </c>
      <c r="I120" s="12">
        <v>45963</v>
      </c>
      <c r="J120" s="11">
        <v>110</v>
      </c>
      <c r="K120" s="3" t="s">
        <v>29</v>
      </c>
      <c r="L120" s="3" t="s">
        <v>30</v>
      </c>
      <c r="M120" s="9"/>
      <c r="N120" s="12">
        <f t="shared" si="11"/>
        <v>45977</v>
      </c>
      <c r="O120" s="9">
        <f t="shared" ca="1" si="1"/>
        <v>-38</v>
      </c>
      <c r="P120" s="13" t="str">
        <f t="shared" si="2"/>
        <v>https://secure.booking.com/confirmation.html?bn=6361992476&amp;hc_origin=search&amp;pincode=9692&amp;source=help_center</v>
      </c>
      <c r="Q120" s="9" t="s">
        <v>31</v>
      </c>
      <c r="R120" s="9"/>
      <c r="S120" s="9"/>
      <c r="T120" s="9"/>
      <c r="U120" s="9"/>
      <c r="V120" s="9"/>
      <c r="W120" s="9" t="s">
        <v>32</v>
      </c>
      <c r="X120" s="9"/>
      <c r="Y120" s="9"/>
      <c r="Z120" s="3"/>
      <c r="AA120" s="3"/>
    </row>
    <row r="121" spans="1:27" ht="15.75" customHeight="1" x14ac:dyDescent="0.25">
      <c r="A121" s="8">
        <v>45958</v>
      </c>
      <c r="B121" s="13" t="s">
        <v>532</v>
      </c>
      <c r="C121" s="10"/>
      <c r="D121" s="10">
        <v>4072</v>
      </c>
      <c r="E121" s="3" t="s">
        <v>155</v>
      </c>
      <c r="F121" s="9" t="s">
        <v>156</v>
      </c>
      <c r="G121" s="11">
        <v>1221.8499999999999</v>
      </c>
      <c r="H121" s="12">
        <v>45958</v>
      </c>
      <c r="I121" s="12">
        <v>45964</v>
      </c>
      <c r="J121" s="11">
        <v>120</v>
      </c>
      <c r="K121" s="3" t="s">
        <v>29</v>
      </c>
      <c r="L121" s="3" t="s">
        <v>483</v>
      </c>
      <c r="M121" s="9"/>
      <c r="N121" s="12">
        <f t="shared" si="11"/>
        <v>45978</v>
      </c>
      <c r="O121" s="9">
        <f t="shared" ca="1" si="1"/>
        <v>-37</v>
      </c>
      <c r="P121" s="13" t="str">
        <f t="shared" si="2"/>
        <v>https://secure.booking.com/confirmation.html?bn=&amp;hc_origin=search&amp;pincode=4072&amp;source=help_center</v>
      </c>
      <c r="Q121" s="9" t="s">
        <v>31</v>
      </c>
      <c r="R121" s="9"/>
      <c r="S121" s="9"/>
      <c r="T121" s="9"/>
      <c r="U121" s="9"/>
      <c r="V121" s="9"/>
      <c r="W121" s="9" t="s">
        <v>32</v>
      </c>
      <c r="X121" s="9"/>
      <c r="Y121" s="9"/>
      <c r="Z121" s="3"/>
      <c r="AA121" s="3"/>
    </row>
    <row r="122" spans="1:27" ht="15.75" customHeight="1" x14ac:dyDescent="0.25">
      <c r="A122" s="8">
        <f>I121</f>
        <v>45964</v>
      </c>
      <c r="B122" s="9" t="s">
        <v>533</v>
      </c>
      <c r="C122" s="10">
        <v>5781371024</v>
      </c>
      <c r="D122" s="10">
        <v>7785</v>
      </c>
      <c r="E122" s="3" t="s">
        <v>534</v>
      </c>
      <c r="F122" s="9" t="s">
        <v>535</v>
      </c>
      <c r="G122" s="11"/>
      <c r="H122" s="12">
        <v>45964</v>
      </c>
      <c r="I122" s="12">
        <v>45965</v>
      </c>
      <c r="J122" s="11"/>
      <c r="K122" s="3" t="s">
        <v>36</v>
      </c>
      <c r="L122" s="3"/>
      <c r="M122" s="9"/>
      <c r="N122" s="12">
        <f t="shared" si="11"/>
        <v>45979</v>
      </c>
      <c r="O122" s="9">
        <f t="shared" ca="1" si="1"/>
        <v>-36</v>
      </c>
      <c r="P122" s="13" t="str">
        <f t="shared" si="2"/>
        <v>https://secure.booking.com/confirmation.html?bn=5781371024&amp;hc_origin=search&amp;pincode=7785&amp;source=help_center</v>
      </c>
      <c r="Q122" s="9" t="s">
        <v>71</v>
      </c>
      <c r="R122" s="9" t="s">
        <v>535</v>
      </c>
      <c r="S122" s="9" t="s">
        <v>536</v>
      </c>
      <c r="T122" s="9" t="s">
        <v>269</v>
      </c>
      <c r="U122" s="9"/>
      <c r="V122" s="9"/>
      <c r="W122" s="9" t="s">
        <v>32</v>
      </c>
      <c r="X122" s="9" t="s">
        <v>537</v>
      </c>
      <c r="Y122" s="9" t="s">
        <v>538</v>
      </c>
      <c r="Z122" s="3"/>
      <c r="AA122" s="3"/>
    </row>
    <row r="123" spans="1:27" ht="15.75" customHeight="1" x14ac:dyDescent="0.25">
      <c r="A123" s="8">
        <v>45958</v>
      </c>
      <c r="B123" s="13" t="s">
        <v>539</v>
      </c>
      <c r="C123" s="10">
        <v>5978074026</v>
      </c>
      <c r="D123" s="10">
        <v>9633</v>
      </c>
      <c r="E123" s="3" t="s">
        <v>88</v>
      </c>
      <c r="F123" s="9" t="s">
        <v>89</v>
      </c>
      <c r="G123" s="11">
        <v>1340.95</v>
      </c>
      <c r="H123" s="12">
        <v>45958</v>
      </c>
      <c r="I123" s="12">
        <v>45965</v>
      </c>
      <c r="J123" s="11">
        <v>120</v>
      </c>
      <c r="K123" s="3" t="s">
        <v>29</v>
      </c>
      <c r="L123" s="3" t="s">
        <v>483</v>
      </c>
      <c r="M123" s="9"/>
      <c r="N123" s="12">
        <f t="shared" si="11"/>
        <v>45979</v>
      </c>
      <c r="O123" s="9">
        <f t="shared" ca="1" si="1"/>
        <v>-36</v>
      </c>
      <c r="P123" s="13" t="str">
        <f t="shared" si="2"/>
        <v>https://secure.booking.com/confirmation.html?bn=5978074026&amp;hc_origin=search&amp;pincode=9633&amp;source=help_center</v>
      </c>
      <c r="Q123" s="9" t="s">
        <v>31</v>
      </c>
      <c r="R123" s="9"/>
      <c r="S123" s="9"/>
      <c r="T123" s="9"/>
      <c r="U123" s="9"/>
      <c r="V123" s="9"/>
      <c r="W123" s="9" t="s">
        <v>32</v>
      </c>
      <c r="X123" s="9"/>
      <c r="Y123" s="9"/>
      <c r="Z123" s="3"/>
      <c r="AA123" s="3"/>
    </row>
    <row r="124" spans="1:27" ht="15.75" customHeight="1" x14ac:dyDescent="0.25">
      <c r="A124" s="8">
        <f t="shared" ref="A124:A129" si="12">I123</f>
        <v>45965</v>
      </c>
      <c r="B124" s="9" t="s">
        <v>540</v>
      </c>
      <c r="C124" s="10">
        <v>6033066576</v>
      </c>
      <c r="D124" s="10">
        <v>9751</v>
      </c>
      <c r="E124" s="3" t="s">
        <v>541</v>
      </c>
      <c r="F124" s="9" t="s">
        <v>542</v>
      </c>
      <c r="G124" s="11"/>
      <c r="H124" s="12">
        <v>45962</v>
      </c>
      <c r="I124" s="12">
        <v>45966</v>
      </c>
      <c r="J124" s="11">
        <v>72.22</v>
      </c>
      <c r="K124" s="3" t="s">
        <v>29</v>
      </c>
      <c r="L124" s="3"/>
      <c r="M124" s="9"/>
      <c r="N124" s="12">
        <f t="shared" si="11"/>
        <v>45980</v>
      </c>
      <c r="O124" s="9">
        <f t="shared" ca="1" si="1"/>
        <v>-35</v>
      </c>
      <c r="P124" s="13" t="str">
        <f t="shared" si="2"/>
        <v>https://secure.booking.com/confirmation.html?bn=6033066576&amp;hc_origin=search&amp;pincode=9751&amp;source=help_center</v>
      </c>
      <c r="Q124" s="9" t="s">
        <v>140</v>
      </c>
      <c r="R124" s="9" t="s">
        <v>542</v>
      </c>
      <c r="S124" s="9" t="s">
        <v>543</v>
      </c>
      <c r="T124" s="9" t="s">
        <v>544</v>
      </c>
      <c r="U124" s="9" t="s">
        <v>545</v>
      </c>
      <c r="V124" s="9"/>
      <c r="W124" s="9" t="s">
        <v>32</v>
      </c>
      <c r="X124" s="9" t="s">
        <v>546</v>
      </c>
      <c r="Y124" s="9" t="s">
        <v>547</v>
      </c>
      <c r="Z124" s="3"/>
      <c r="AA124" s="3"/>
    </row>
    <row r="125" spans="1:27" ht="15.75" customHeight="1" x14ac:dyDescent="0.25">
      <c r="A125" s="8">
        <f t="shared" si="12"/>
        <v>45966</v>
      </c>
      <c r="B125" s="9" t="s">
        <v>548</v>
      </c>
      <c r="C125" s="10">
        <v>5319979814</v>
      </c>
      <c r="D125" s="10">
        <v>1782</v>
      </c>
      <c r="E125" s="3" t="s">
        <v>549</v>
      </c>
      <c r="F125" s="9" t="s">
        <v>550</v>
      </c>
      <c r="G125" s="11"/>
      <c r="H125" s="12">
        <v>45973</v>
      </c>
      <c r="I125" s="12">
        <v>45974</v>
      </c>
      <c r="J125" s="11">
        <v>120</v>
      </c>
      <c r="K125" s="3" t="s">
        <v>29</v>
      </c>
      <c r="L125" s="3"/>
      <c r="M125" s="9"/>
      <c r="N125" s="12">
        <f t="shared" si="11"/>
        <v>45988</v>
      </c>
      <c r="O125" s="9">
        <f t="shared" ca="1" si="1"/>
        <v>-27</v>
      </c>
      <c r="P125" s="13" t="str">
        <f t="shared" si="2"/>
        <v>https://secure.booking.com/confirmation.html?bn=5319979814&amp;hc_origin=search&amp;pincode=1782&amp;source=help_center</v>
      </c>
      <c r="Q125" s="9" t="s">
        <v>140</v>
      </c>
      <c r="R125" s="9" t="s">
        <v>550</v>
      </c>
      <c r="S125" s="9" t="s">
        <v>536</v>
      </c>
      <c r="T125" s="9" t="s">
        <v>269</v>
      </c>
      <c r="U125" s="9" t="s">
        <v>183</v>
      </c>
      <c r="V125" s="9"/>
      <c r="W125" s="9" t="s">
        <v>32</v>
      </c>
      <c r="X125" s="9" t="s">
        <v>551</v>
      </c>
      <c r="Y125" s="9" t="s">
        <v>552</v>
      </c>
      <c r="Z125" s="3"/>
      <c r="AA125" s="3"/>
    </row>
    <row r="126" spans="1:27" ht="15.75" customHeight="1" x14ac:dyDescent="0.25">
      <c r="A126" s="8">
        <f t="shared" si="12"/>
        <v>45974</v>
      </c>
      <c r="B126" s="9" t="s">
        <v>553</v>
      </c>
      <c r="C126" s="10">
        <v>5781306191</v>
      </c>
      <c r="D126" s="10">
        <v>3334</v>
      </c>
      <c r="E126" s="3" t="s">
        <v>554</v>
      </c>
      <c r="F126" s="9" t="s">
        <v>555</v>
      </c>
      <c r="G126" s="11"/>
      <c r="H126" s="12">
        <v>45975</v>
      </c>
      <c r="I126" s="12">
        <v>45976</v>
      </c>
      <c r="J126" s="11"/>
      <c r="K126" s="3" t="s">
        <v>36</v>
      </c>
      <c r="L126" s="3"/>
      <c r="M126" s="9"/>
      <c r="N126" s="12">
        <f t="shared" si="11"/>
        <v>45990</v>
      </c>
      <c r="O126" s="9">
        <f t="shared" ca="1" si="1"/>
        <v>-25</v>
      </c>
      <c r="P126" s="13" t="str">
        <f t="shared" si="2"/>
        <v>https://secure.booking.com/confirmation.html?bn=5781306191&amp;hc_origin=search&amp;pincode=3334&amp;source=help_center</v>
      </c>
      <c r="Q126" s="9" t="s">
        <v>71</v>
      </c>
      <c r="R126" s="9" t="s">
        <v>555</v>
      </c>
      <c r="S126" s="9" t="s">
        <v>250</v>
      </c>
      <c r="T126" s="9" t="s">
        <v>269</v>
      </c>
      <c r="U126" s="9" t="s">
        <v>556</v>
      </c>
      <c r="V126" s="9"/>
      <c r="W126" s="9" t="s">
        <v>32</v>
      </c>
      <c r="X126" s="9" t="s">
        <v>557</v>
      </c>
      <c r="Y126" s="9" t="s">
        <v>558</v>
      </c>
      <c r="Z126" s="3"/>
      <c r="AA126" s="3"/>
    </row>
    <row r="127" spans="1:27" ht="15.75" customHeight="1" x14ac:dyDescent="0.25">
      <c r="A127" s="8">
        <f t="shared" si="12"/>
        <v>45976</v>
      </c>
      <c r="B127" s="9" t="s">
        <v>559</v>
      </c>
      <c r="C127" s="10">
        <v>5475275616</v>
      </c>
      <c r="D127" s="10">
        <v>5762</v>
      </c>
      <c r="E127" s="3" t="s">
        <v>560</v>
      </c>
      <c r="F127" s="9" t="s">
        <v>561</v>
      </c>
      <c r="G127" s="11"/>
      <c r="H127" s="12">
        <v>45976</v>
      </c>
      <c r="I127" s="12">
        <v>45977</v>
      </c>
      <c r="J127" s="11"/>
      <c r="K127" s="3" t="s">
        <v>36</v>
      </c>
      <c r="L127" s="3"/>
      <c r="M127" s="9"/>
      <c r="N127" s="12">
        <f t="shared" si="11"/>
        <v>45991</v>
      </c>
      <c r="O127" s="9">
        <f t="shared" ca="1" si="1"/>
        <v>-24</v>
      </c>
      <c r="P127" s="13" t="str">
        <f t="shared" si="2"/>
        <v>https://secure.booking.com/confirmation.html?bn=5475275616&amp;hc_origin=search&amp;pincode=5762&amp;source=help_center</v>
      </c>
      <c r="Q127" s="9" t="s">
        <v>71</v>
      </c>
      <c r="R127" s="9" t="s">
        <v>561</v>
      </c>
      <c r="S127" s="9" t="s">
        <v>517</v>
      </c>
      <c r="T127" s="9" t="s">
        <v>50</v>
      </c>
      <c r="U127" s="9"/>
      <c r="V127" s="9"/>
      <c r="W127" s="9" t="s">
        <v>32</v>
      </c>
      <c r="X127" s="9" t="s">
        <v>562</v>
      </c>
      <c r="Y127" s="9" t="s">
        <v>563</v>
      </c>
      <c r="Z127" s="3"/>
      <c r="AA127" s="3"/>
    </row>
    <row r="128" spans="1:27" ht="15.75" customHeight="1" x14ac:dyDescent="0.25">
      <c r="A128" s="8">
        <f t="shared" si="12"/>
        <v>45977</v>
      </c>
      <c r="B128" s="9" t="s">
        <v>564</v>
      </c>
      <c r="C128" s="10">
        <v>5398254838</v>
      </c>
      <c r="D128" s="10">
        <v>2362</v>
      </c>
      <c r="E128" s="3" t="s">
        <v>262</v>
      </c>
      <c r="F128" s="9" t="s">
        <v>263</v>
      </c>
      <c r="G128" s="11"/>
      <c r="H128" s="12">
        <v>45974</v>
      </c>
      <c r="I128" s="12">
        <v>45978</v>
      </c>
      <c r="J128" s="11">
        <v>84.16</v>
      </c>
      <c r="K128" s="3" t="s">
        <v>48</v>
      </c>
      <c r="L128" s="3"/>
      <c r="M128" s="9"/>
      <c r="N128" s="12">
        <f t="shared" si="11"/>
        <v>45992</v>
      </c>
      <c r="O128" s="9">
        <f t="shared" ca="1" si="1"/>
        <v>-23</v>
      </c>
      <c r="P128" s="13" t="str">
        <f t="shared" si="2"/>
        <v>https://secure.booking.com/confirmation.html?bn=5398254838&amp;hc_origin=search&amp;pincode=2362&amp;source=help_center</v>
      </c>
      <c r="Q128" s="9" t="s">
        <v>49</v>
      </c>
      <c r="R128" s="9" t="s">
        <v>263</v>
      </c>
      <c r="S128" s="9" t="s">
        <v>102</v>
      </c>
      <c r="T128" s="9" t="s">
        <v>565</v>
      </c>
      <c r="U128" s="9" t="s">
        <v>566</v>
      </c>
      <c r="V128" s="9"/>
      <c r="W128" s="9" t="s">
        <v>32</v>
      </c>
      <c r="X128" s="9" t="s">
        <v>567</v>
      </c>
      <c r="Y128" s="9" t="s">
        <v>568</v>
      </c>
      <c r="Z128" s="3"/>
      <c r="AA128" s="3"/>
    </row>
    <row r="129" spans="1:27" ht="15.75" customHeight="1" x14ac:dyDescent="0.25">
      <c r="A129" s="8">
        <f t="shared" si="12"/>
        <v>45978</v>
      </c>
      <c r="B129" s="9" t="s">
        <v>569</v>
      </c>
      <c r="C129" s="10">
        <v>5398261788</v>
      </c>
      <c r="D129" s="10">
        <v>9456</v>
      </c>
      <c r="E129" s="3" t="s">
        <v>570</v>
      </c>
      <c r="F129" s="9" t="s">
        <v>571</v>
      </c>
      <c r="G129" s="11"/>
      <c r="H129" s="12">
        <v>45975</v>
      </c>
      <c r="I129" s="12">
        <v>45979</v>
      </c>
      <c r="J129" s="11">
        <v>112.77</v>
      </c>
      <c r="K129" s="3" t="s">
        <v>48</v>
      </c>
      <c r="L129" s="3"/>
      <c r="M129" s="9"/>
      <c r="N129" s="12">
        <f t="shared" si="11"/>
        <v>45993</v>
      </c>
      <c r="O129" s="9">
        <f t="shared" ca="1" si="1"/>
        <v>-22</v>
      </c>
      <c r="P129" s="13" t="str">
        <f t="shared" si="2"/>
        <v>https://secure.booking.com/confirmation.html?bn=5398261788&amp;hc_origin=search&amp;pincode=9456&amp;source=help_center</v>
      </c>
      <c r="Q129" s="9" t="s">
        <v>49</v>
      </c>
      <c r="R129" s="9" t="s">
        <v>571</v>
      </c>
      <c r="S129" s="9" t="s">
        <v>102</v>
      </c>
      <c r="T129" s="9" t="s">
        <v>572</v>
      </c>
      <c r="U129" s="9" t="s">
        <v>573</v>
      </c>
      <c r="V129" s="9"/>
      <c r="W129" s="9" t="s">
        <v>32</v>
      </c>
      <c r="X129" s="9" t="s">
        <v>574</v>
      </c>
      <c r="Y129" s="9" t="s">
        <v>575</v>
      </c>
      <c r="Z129" s="3"/>
      <c r="AA129" s="3"/>
    </row>
    <row r="130" spans="1:27" ht="15.75" customHeight="1" x14ac:dyDescent="0.25">
      <c r="A130" s="8">
        <v>45948</v>
      </c>
      <c r="B130" s="3" t="s">
        <v>576</v>
      </c>
      <c r="C130" s="10" t="s">
        <v>577</v>
      </c>
      <c r="D130" s="10" t="s">
        <v>578</v>
      </c>
      <c r="E130" s="3" t="s">
        <v>579</v>
      </c>
      <c r="F130" s="3" t="s">
        <v>580</v>
      </c>
      <c r="G130" s="14"/>
      <c r="H130" s="8">
        <v>45886</v>
      </c>
      <c r="I130" s="8">
        <v>45988</v>
      </c>
      <c r="J130" s="14">
        <v>32.08</v>
      </c>
      <c r="K130" s="3" t="s">
        <v>48</v>
      </c>
      <c r="L130" s="3"/>
      <c r="M130" s="3"/>
      <c r="N130" s="12">
        <f t="shared" si="11"/>
        <v>46002</v>
      </c>
      <c r="O130" s="9">
        <f t="shared" ca="1" si="1"/>
        <v>-13</v>
      </c>
      <c r="P130" s="13" t="str">
        <f t="shared" si="2"/>
        <v>https://secure.booking.com/confirmation.html?bn=5456924562&amp;hc_origin=search&amp;pincode=3308&amp;source=help_center</v>
      </c>
      <c r="Q130" s="9" t="s">
        <v>49</v>
      </c>
      <c r="R130" s="9" t="s">
        <v>580</v>
      </c>
      <c r="S130" s="9" t="s">
        <v>581</v>
      </c>
      <c r="T130" s="9" t="s">
        <v>582</v>
      </c>
      <c r="U130" s="9" t="s">
        <v>583</v>
      </c>
      <c r="V130" s="9"/>
      <c r="W130" s="9" t="s">
        <v>32</v>
      </c>
      <c r="X130" s="9" t="s">
        <v>577</v>
      </c>
      <c r="Y130" s="9" t="s">
        <v>578</v>
      </c>
      <c r="Z130" s="3"/>
      <c r="AA130" s="3"/>
    </row>
    <row r="131" spans="1:27" ht="15.75" customHeight="1" x14ac:dyDescent="0.25">
      <c r="A131" s="8" t="e">
        <f>#REF!</f>
        <v>#REF!</v>
      </c>
      <c r="B131" s="9" t="s">
        <v>584</v>
      </c>
      <c r="C131" s="10">
        <v>6260591005</v>
      </c>
      <c r="D131" s="10">
        <v>6499</v>
      </c>
      <c r="E131" s="3" t="s">
        <v>346</v>
      </c>
      <c r="F131" s="9" t="s">
        <v>347</v>
      </c>
      <c r="G131" s="11"/>
      <c r="H131" s="12">
        <v>45987</v>
      </c>
      <c r="I131" s="12">
        <v>45989</v>
      </c>
      <c r="J131" s="11"/>
      <c r="K131" s="3" t="s">
        <v>36</v>
      </c>
      <c r="L131" s="3"/>
      <c r="M131" s="9"/>
      <c r="N131" s="12">
        <f t="shared" si="11"/>
        <v>46003</v>
      </c>
      <c r="O131" s="9">
        <f t="shared" ca="1" si="1"/>
        <v>-12</v>
      </c>
      <c r="P131" s="13" t="str">
        <f t="shared" si="2"/>
        <v>https://secure.booking.com/confirmation.html?bn=6260591005&amp;hc_origin=search&amp;pincode=6499&amp;source=help_center</v>
      </c>
      <c r="Q131" s="9" t="s">
        <v>71</v>
      </c>
      <c r="R131" s="9" t="s">
        <v>347</v>
      </c>
      <c r="S131" s="9" t="s">
        <v>585</v>
      </c>
      <c r="T131" s="9" t="s">
        <v>586</v>
      </c>
      <c r="U131" s="9"/>
      <c r="V131" s="9"/>
      <c r="W131" s="9" t="s">
        <v>32</v>
      </c>
      <c r="X131" s="9" t="s">
        <v>587</v>
      </c>
      <c r="Y131" s="9" t="s">
        <v>588</v>
      </c>
      <c r="Z131" s="3"/>
      <c r="AA131" s="3"/>
    </row>
    <row r="132" spans="1:27" ht="15.75" customHeight="1" x14ac:dyDescent="0.25">
      <c r="A132" s="8">
        <f t="shared" ref="A132:A137" si="13">I131</f>
        <v>45989</v>
      </c>
      <c r="B132" s="9" t="s">
        <v>589</v>
      </c>
      <c r="C132" s="10">
        <v>5266010181</v>
      </c>
      <c r="D132" s="10">
        <v>2061</v>
      </c>
      <c r="E132" s="3" t="s">
        <v>590</v>
      </c>
      <c r="F132" s="9" t="s">
        <v>591</v>
      </c>
      <c r="G132" s="11"/>
      <c r="H132" s="12">
        <v>45988</v>
      </c>
      <c r="I132" s="12">
        <v>45990</v>
      </c>
      <c r="J132" s="11">
        <v>120</v>
      </c>
      <c r="K132" s="3" t="s">
        <v>36</v>
      </c>
      <c r="L132" s="3"/>
      <c r="M132" s="9"/>
      <c r="N132" s="12">
        <f t="shared" si="11"/>
        <v>46004</v>
      </c>
      <c r="O132" s="9">
        <f t="shared" ca="1" si="1"/>
        <v>-11</v>
      </c>
      <c r="P132" s="13" t="str">
        <f t="shared" si="2"/>
        <v>https://secure.booking.com/confirmation.html?bn=5266010181&amp;hc_origin=search&amp;pincode=2061&amp;source=help_center</v>
      </c>
      <c r="Q132" s="9" t="s">
        <v>49</v>
      </c>
      <c r="R132" s="9" t="s">
        <v>591</v>
      </c>
      <c r="S132" s="9" t="s">
        <v>582</v>
      </c>
      <c r="T132" s="9" t="s">
        <v>592</v>
      </c>
      <c r="U132" s="9" t="s">
        <v>183</v>
      </c>
      <c r="V132" s="9"/>
      <c r="W132" s="9" t="s">
        <v>32</v>
      </c>
      <c r="X132" s="9" t="s">
        <v>593</v>
      </c>
      <c r="Y132" s="9" t="s">
        <v>594</v>
      </c>
      <c r="Z132" s="3"/>
      <c r="AA132" s="3"/>
    </row>
    <row r="133" spans="1:27" ht="15.75" customHeight="1" x14ac:dyDescent="0.25">
      <c r="A133" s="8">
        <f t="shared" si="13"/>
        <v>45990</v>
      </c>
      <c r="B133" s="9" t="s">
        <v>595</v>
      </c>
      <c r="C133" s="10">
        <v>6426315965</v>
      </c>
      <c r="D133" s="10">
        <v>3229</v>
      </c>
      <c r="E133" s="3" t="s">
        <v>245</v>
      </c>
      <c r="F133" s="9" t="s">
        <v>246</v>
      </c>
      <c r="G133" s="11"/>
      <c r="H133" s="12">
        <v>45988</v>
      </c>
      <c r="I133" s="12">
        <v>45990</v>
      </c>
      <c r="J133" s="11"/>
      <c r="K133" s="3" t="s">
        <v>36</v>
      </c>
      <c r="L133" s="3"/>
      <c r="M133" s="9"/>
      <c r="N133" s="12">
        <f t="shared" si="11"/>
        <v>46004</v>
      </c>
      <c r="O133" s="9">
        <f t="shared" ca="1" si="1"/>
        <v>-11</v>
      </c>
      <c r="P133" s="13" t="str">
        <f t="shared" si="2"/>
        <v>https://secure.booking.com/confirmation.html?bn=6426315965&amp;hc_origin=search&amp;pincode=3229&amp;source=help_center</v>
      </c>
      <c r="Q133" s="9" t="s">
        <v>71</v>
      </c>
      <c r="R133" s="9" t="s">
        <v>246</v>
      </c>
      <c r="S133" s="9" t="s">
        <v>582</v>
      </c>
      <c r="T133" s="9" t="s">
        <v>592</v>
      </c>
      <c r="U133" s="9"/>
      <c r="V133" s="9"/>
      <c r="W133" s="9" t="s">
        <v>32</v>
      </c>
      <c r="X133" s="9" t="s">
        <v>596</v>
      </c>
      <c r="Y133" s="9" t="s">
        <v>597</v>
      </c>
      <c r="Z133" s="3"/>
      <c r="AA133" s="3"/>
    </row>
    <row r="134" spans="1:27" ht="15.75" customHeight="1" x14ac:dyDescent="0.25">
      <c r="A134" s="8">
        <f t="shared" si="13"/>
        <v>45990</v>
      </c>
      <c r="B134" s="9" t="s">
        <v>598</v>
      </c>
      <c r="C134" s="10">
        <v>5167926973</v>
      </c>
      <c r="D134" s="10">
        <v>315</v>
      </c>
      <c r="E134" s="3" t="s">
        <v>599</v>
      </c>
      <c r="F134" s="9" t="s">
        <v>600</v>
      </c>
      <c r="G134" s="11"/>
      <c r="H134" s="12">
        <v>45997</v>
      </c>
      <c r="I134" s="12">
        <v>45998</v>
      </c>
      <c r="J134" s="11"/>
      <c r="K134" s="3" t="s">
        <v>36</v>
      </c>
      <c r="L134" s="3"/>
      <c r="M134" s="9"/>
      <c r="N134" s="12">
        <f t="shared" si="11"/>
        <v>46012</v>
      </c>
      <c r="O134" s="9">
        <f t="shared" ca="1" si="1"/>
        <v>-3</v>
      </c>
      <c r="P134" s="13" t="str">
        <f t="shared" si="2"/>
        <v>https://secure.booking.com/confirmation.html?bn=5167926973&amp;hc_origin=search&amp;pincode=315&amp;source=help_center</v>
      </c>
      <c r="Q134" s="9" t="s">
        <v>71</v>
      </c>
      <c r="R134" s="9" t="s">
        <v>600</v>
      </c>
      <c r="S134" s="9" t="s">
        <v>536</v>
      </c>
      <c r="T134" s="9" t="s">
        <v>258</v>
      </c>
      <c r="U134" s="9"/>
      <c r="V134" s="9"/>
      <c r="W134" s="9" t="s">
        <v>32</v>
      </c>
      <c r="X134" s="9" t="s">
        <v>601</v>
      </c>
      <c r="Y134" s="9" t="s">
        <v>602</v>
      </c>
      <c r="Z134" s="3"/>
      <c r="AA134" s="3"/>
    </row>
    <row r="135" spans="1:27" ht="15.75" customHeight="1" x14ac:dyDescent="0.25">
      <c r="A135" s="8">
        <f t="shared" si="13"/>
        <v>45998</v>
      </c>
      <c r="B135" s="9" t="s">
        <v>603</v>
      </c>
      <c r="C135" s="10">
        <v>6827168059</v>
      </c>
      <c r="D135" s="10">
        <v>2280</v>
      </c>
      <c r="E135" s="3" t="s">
        <v>604</v>
      </c>
      <c r="F135" s="9" t="s">
        <v>605</v>
      </c>
      <c r="G135" s="11"/>
      <c r="H135" s="12">
        <v>45997</v>
      </c>
      <c r="I135" s="12">
        <v>45998</v>
      </c>
      <c r="J135" s="11">
        <v>94.24</v>
      </c>
      <c r="K135" s="3" t="s">
        <v>29</v>
      </c>
      <c r="L135" s="3"/>
      <c r="M135" s="9"/>
      <c r="N135" s="12">
        <f t="shared" si="11"/>
        <v>46012</v>
      </c>
      <c r="O135" s="9">
        <f t="shared" ca="1" si="1"/>
        <v>-3</v>
      </c>
      <c r="P135" s="13" t="str">
        <f t="shared" si="2"/>
        <v>https://secure.booking.com/confirmation.html?bn=6827168059&amp;hc_origin=search&amp;pincode=2280&amp;source=help_center</v>
      </c>
      <c r="Q135" s="9" t="s">
        <v>140</v>
      </c>
      <c r="R135" s="9" t="s">
        <v>605</v>
      </c>
      <c r="S135" s="9" t="s">
        <v>157</v>
      </c>
      <c r="T135" s="9" t="s">
        <v>171</v>
      </c>
      <c r="U135" s="9" t="s">
        <v>606</v>
      </c>
      <c r="V135" s="9"/>
      <c r="W135" s="9" t="s">
        <v>32</v>
      </c>
      <c r="X135" s="9" t="s">
        <v>607</v>
      </c>
      <c r="Y135" s="9" t="s">
        <v>608</v>
      </c>
      <c r="Z135" s="3"/>
      <c r="AA135" s="3"/>
    </row>
    <row r="136" spans="1:27" ht="15.75" customHeight="1" x14ac:dyDescent="0.25">
      <c r="A136" s="8">
        <f t="shared" si="13"/>
        <v>45998</v>
      </c>
      <c r="B136" s="9" t="s">
        <v>609</v>
      </c>
      <c r="C136" s="10">
        <v>6839928216</v>
      </c>
      <c r="D136" s="10">
        <v>8538</v>
      </c>
      <c r="E136" s="3" t="s">
        <v>610</v>
      </c>
      <c r="F136" s="9" t="s">
        <v>611</v>
      </c>
      <c r="G136" s="11"/>
      <c r="H136" s="12">
        <v>46000</v>
      </c>
      <c r="I136" s="12">
        <v>46001</v>
      </c>
      <c r="J136" s="11"/>
      <c r="K136" s="3" t="s">
        <v>36</v>
      </c>
      <c r="L136" s="3"/>
      <c r="M136" s="9"/>
      <c r="N136" s="12">
        <f t="shared" si="11"/>
        <v>46015</v>
      </c>
      <c r="O136" s="9">
        <f t="shared" ca="1" si="1"/>
        <v>0</v>
      </c>
      <c r="P136" s="13" t="str">
        <f t="shared" si="2"/>
        <v>https://secure.booking.com/confirmation.html?bn=6839928216&amp;hc_origin=search&amp;pincode=8538&amp;source=help_center</v>
      </c>
      <c r="Q136" s="9" t="s">
        <v>71</v>
      </c>
      <c r="R136" s="9" t="s">
        <v>611</v>
      </c>
      <c r="S136" s="9" t="s">
        <v>612</v>
      </c>
      <c r="T136" s="9" t="s">
        <v>613</v>
      </c>
      <c r="U136" s="9"/>
      <c r="V136" s="9"/>
      <c r="W136" s="9" t="s">
        <v>32</v>
      </c>
      <c r="X136" s="9" t="s">
        <v>614</v>
      </c>
      <c r="Y136" s="9" t="s">
        <v>615</v>
      </c>
      <c r="Z136" s="3"/>
      <c r="AA136" s="3"/>
    </row>
    <row r="137" spans="1:27" ht="15.75" customHeight="1" x14ac:dyDescent="0.25">
      <c r="A137" s="8">
        <f t="shared" si="13"/>
        <v>46001</v>
      </c>
      <c r="B137" s="9" t="s">
        <v>616</v>
      </c>
      <c r="C137" s="10">
        <v>5781352588</v>
      </c>
      <c r="D137" s="10">
        <v>2044</v>
      </c>
      <c r="E137" s="3" t="s">
        <v>617</v>
      </c>
      <c r="F137" s="9" t="s">
        <v>618</v>
      </c>
      <c r="G137" s="11"/>
      <c r="H137" s="12">
        <v>46000</v>
      </c>
      <c r="I137" s="12">
        <v>46002</v>
      </c>
      <c r="J137" s="11"/>
      <c r="K137" s="3" t="s">
        <v>36</v>
      </c>
      <c r="L137" s="3"/>
      <c r="M137" s="9"/>
      <c r="N137" s="12">
        <f t="shared" si="11"/>
        <v>46016</v>
      </c>
      <c r="O137" s="9">
        <f t="shared" ca="1" si="1"/>
        <v>1</v>
      </c>
      <c r="P137" s="13" t="str">
        <f t="shared" si="2"/>
        <v>https://secure.booking.com/confirmation.html?bn=5781352588&amp;hc_origin=search&amp;pincode=2044&amp;source=help_center</v>
      </c>
      <c r="Q137" s="9" t="s">
        <v>71</v>
      </c>
      <c r="R137" s="9" t="s">
        <v>618</v>
      </c>
      <c r="S137" s="9" t="s">
        <v>292</v>
      </c>
      <c r="T137" s="9" t="s">
        <v>119</v>
      </c>
      <c r="U137" s="9"/>
      <c r="V137" s="9"/>
      <c r="W137" s="9" t="s">
        <v>32</v>
      </c>
      <c r="X137" s="9" t="s">
        <v>619</v>
      </c>
      <c r="Y137" s="9" t="s">
        <v>620</v>
      </c>
      <c r="Z137" s="3"/>
      <c r="AA137" s="3"/>
    </row>
    <row r="138" spans="1:27" ht="15.75" hidden="1" customHeight="1" x14ac:dyDescent="0.25">
      <c r="A138" s="8">
        <v>45948</v>
      </c>
      <c r="B138" s="9" t="s">
        <v>621</v>
      </c>
      <c r="C138" s="10" t="s">
        <v>622</v>
      </c>
      <c r="D138" s="10" t="s">
        <v>623</v>
      </c>
      <c r="E138" s="3" t="s">
        <v>262</v>
      </c>
      <c r="F138" s="9" t="s">
        <v>263</v>
      </c>
      <c r="G138" s="11"/>
      <c r="H138" s="12">
        <v>46004</v>
      </c>
      <c r="I138" s="12">
        <v>46005</v>
      </c>
      <c r="J138" s="11">
        <v>18.57</v>
      </c>
      <c r="K138" s="3" t="s">
        <v>48</v>
      </c>
      <c r="L138" s="3"/>
      <c r="M138" s="9"/>
      <c r="N138" s="12">
        <f t="shared" si="11"/>
        <v>46019</v>
      </c>
      <c r="O138" s="9">
        <f t="shared" ca="1" si="1"/>
        <v>4</v>
      </c>
      <c r="P138" s="13" t="str">
        <f t="shared" si="2"/>
        <v>https://secure.booking.com/confirmation.html?bn=6837087364&amp;hc_origin=search&amp;pincode=8041&amp;source=help_center</v>
      </c>
      <c r="Q138" s="9" t="s">
        <v>49</v>
      </c>
      <c r="R138" s="9" t="s">
        <v>263</v>
      </c>
      <c r="S138" s="9" t="s">
        <v>624</v>
      </c>
      <c r="T138" s="9" t="s">
        <v>50</v>
      </c>
      <c r="U138" s="9" t="s">
        <v>625</v>
      </c>
      <c r="V138" s="9"/>
      <c r="W138" s="9" t="s">
        <v>32</v>
      </c>
      <c r="X138" s="9" t="s">
        <v>622</v>
      </c>
      <c r="Y138" s="9" t="s">
        <v>623</v>
      </c>
      <c r="Z138" s="3"/>
      <c r="AA138" s="3"/>
    </row>
    <row r="139" spans="1:27" ht="15.75" customHeight="1" x14ac:dyDescent="0.25">
      <c r="A139" s="8">
        <f t="shared" ref="A139:A140" si="14">I138</f>
        <v>46005</v>
      </c>
      <c r="B139" s="9" t="s">
        <v>626</v>
      </c>
      <c r="C139" s="10">
        <v>6569462042</v>
      </c>
      <c r="D139" s="10">
        <v>2921</v>
      </c>
      <c r="E139" s="3" t="s">
        <v>627</v>
      </c>
      <c r="F139" s="9" t="s">
        <v>628</v>
      </c>
      <c r="G139" s="11"/>
      <c r="H139" s="12">
        <v>46004</v>
      </c>
      <c r="I139" s="12">
        <v>46005</v>
      </c>
      <c r="J139" s="11"/>
      <c r="K139" s="3" t="s">
        <v>36</v>
      </c>
      <c r="L139" s="3"/>
      <c r="M139" s="9"/>
      <c r="N139" s="12">
        <f t="shared" si="11"/>
        <v>46019</v>
      </c>
      <c r="O139" s="9">
        <f t="shared" ca="1" si="1"/>
        <v>4</v>
      </c>
      <c r="P139" s="13" t="str">
        <f t="shared" si="2"/>
        <v>https://secure.booking.com/confirmation.html?bn=6569462042&amp;hc_origin=search&amp;pincode=2921&amp;source=help_center</v>
      </c>
      <c r="Q139" s="9" t="s">
        <v>71</v>
      </c>
      <c r="R139" s="9" t="s">
        <v>628</v>
      </c>
      <c r="S139" s="9" t="s">
        <v>170</v>
      </c>
      <c r="T139" s="9" t="s">
        <v>176</v>
      </c>
      <c r="U139" s="9"/>
      <c r="V139" s="9"/>
      <c r="W139" s="9" t="s">
        <v>32</v>
      </c>
      <c r="X139" s="9" t="s">
        <v>629</v>
      </c>
      <c r="Y139" s="9" t="s">
        <v>630</v>
      </c>
      <c r="Z139" s="3"/>
      <c r="AA139" s="3"/>
    </row>
    <row r="140" spans="1:27" ht="15.75" customHeight="1" x14ac:dyDescent="0.25">
      <c r="A140" s="8">
        <f t="shared" si="14"/>
        <v>46005</v>
      </c>
      <c r="B140" s="9" t="s">
        <v>621</v>
      </c>
      <c r="C140" s="10">
        <v>6837087364</v>
      </c>
      <c r="D140" s="10">
        <v>8041</v>
      </c>
      <c r="E140" s="3" t="s">
        <v>631</v>
      </c>
      <c r="F140" s="9" t="s">
        <v>632</v>
      </c>
      <c r="G140" s="11"/>
      <c r="H140" s="12">
        <v>46004</v>
      </c>
      <c r="I140" s="12">
        <v>46005</v>
      </c>
      <c r="J140" s="11">
        <v>18.57</v>
      </c>
      <c r="K140" s="3" t="s">
        <v>48</v>
      </c>
      <c r="L140" s="3"/>
      <c r="M140" s="9"/>
      <c r="N140" s="12">
        <f t="shared" si="11"/>
        <v>46019</v>
      </c>
      <c r="O140" s="9">
        <f t="shared" ca="1" si="1"/>
        <v>4</v>
      </c>
      <c r="P140" s="13" t="str">
        <f t="shared" si="2"/>
        <v>https://secure.booking.com/confirmation.html?bn=6837087364&amp;hc_origin=search&amp;pincode=8041&amp;source=help_center</v>
      </c>
      <c r="Q140" s="9" t="s">
        <v>49</v>
      </c>
      <c r="R140" s="9" t="s">
        <v>263</v>
      </c>
      <c r="S140" s="9" t="s">
        <v>624</v>
      </c>
      <c r="T140" s="9" t="s">
        <v>50</v>
      </c>
      <c r="U140" s="9" t="s">
        <v>625</v>
      </c>
      <c r="V140" s="9"/>
      <c r="W140" s="9" t="s">
        <v>32</v>
      </c>
      <c r="X140" s="9" t="s">
        <v>622</v>
      </c>
      <c r="Y140" s="9" t="s">
        <v>623</v>
      </c>
      <c r="Z140" s="3"/>
      <c r="AA140" s="3"/>
    </row>
    <row r="141" spans="1:27" ht="15.75" customHeight="1" x14ac:dyDescent="0.25">
      <c r="A141" s="8" t="e">
        <f>#REF!</f>
        <v>#REF!</v>
      </c>
      <c r="B141" s="9" t="s">
        <v>43</v>
      </c>
      <c r="C141" s="10">
        <v>6847393032</v>
      </c>
      <c r="D141" s="10">
        <v>7624</v>
      </c>
      <c r="E141" s="3" t="s">
        <v>46</v>
      </c>
      <c r="F141" s="9" t="s">
        <v>47</v>
      </c>
      <c r="G141" s="11"/>
      <c r="H141" s="12">
        <v>46005</v>
      </c>
      <c r="I141" s="12">
        <v>46006</v>
      </c>
      <c r="J141" s="11">
        <v>25.31</v>
      </c>
      <c r="K141" s="3" t="s">
        <v>48</v>
      </c>
      <c r="L141" s="3"/>
      <c r="M141" s="9"/>
      <c r="N141" s="12">
        <f t="shared" si="11"/>
        <v>46020</v>
      </c>
      <c r="O141" s="9">
        <f t="shared" ca="1" si="1"/>
        <v>5</v>
      </c>
      <c r="P141" s="13" t="str">
        <f t="shared" si="2"/>
        <v>https://secure.booking.com/confirmation.html?bn=6847393032&amp;hc_origin=search&amp;pincode=7624&amp;source=help_center</v>
      </c>
      <c r="Q141" s="9" t="s">
        <v>49</v>
      </c>
      <c r="R141" s="9" t="s">
        <v>47</v>
      </c>
      <c r="S141" s="9" t="s">
        <v>50</v>
      </c>
      <c r="T141" s="9" t="s">
        <v>51</v>
      </c>
      <c r="U141" s="9" t="s">
        <v>52</v>
      </c>
      <c r="V141" s="9"/>
      <c r="W141" s="9" t="s">
        <v>32</v>
      </c>
      <c r="X141" s="9" t="s">
        <v>44</v>
      </c>
      <c r="Y141" s="9" t="s">
        <v>45</v>
      </c>
      <c r="Z141" s="3"/>
      <c r="AA141" s="3"/>
    </row>
    <row r="142" spans="1:27" ht="15.75" customHeight="1" x14ac:dyDescent="0.25">
      <c r="A142" s="8">
        <f t="shared" ref="A142:A145" si="15">I141</f>
        <v>46006</v>
      </c>
      <c r="B142" s="9" t="s">
        <v>633</v>
      </c>
      <c r="C142" s="10">
        <v>5183989604</v>
      </c>
      <c r="D142" s="10">
        <v>6232</v>
      </c>
      <c r="E142" s="3" t="s">
        <v>634</v>
      </c>
      <c r="F142" s="9" t="s">
        <v>635</v>
      </c>
      <c r="G142" s="11"/>
      <c r="H142" s="12">
        <v>46004</v>
      </c>
      <c r="I142" s="12">
        <v>46006</v>
      </c>
      <c r="J142" s="11">
        <v>76.58</v>
      </c>
      <c r="K142" s="3" t="s">
        <v>48</v>
      </c>
      <c r="L142" s="3"/>
      <c r="M142" s="9"/>
      <c r="N142" s="12">
        <f t="shared" si="11"/>
        <v>46020</v>
      </c>
      <c r="O142" s="9">
        <f t="shared" ca="1" si="1"/>
        <v>5</v>
      </c>
      <c r="P142" s="13" t="str">
        <f t="shared" si="2"/>
        <v>https://secure.booking.com/confirmation.html?bn=5183989604&amp;hc_origin=search&amp;pincode=6232&amp;source=help_center</v>
      </c>
      <c r="Q142" s="9" t="s">
        <v>49</v>
      </c>
      <c r="R142" s="9" t="s">
        <v>635</v>
      </c>
      <c r="S142" s="9" t="s">
        <v>624</v>
      </c>
      <c r="T142" s="9" t="s">
        <v>51</v>
      </c>
      <c r="U142" s="9" t="s">
        <v>636</v>
      </c>
      <c r="V142" s="9"/>
      <c r="W142" s="9" t="s">
        <v>32</v>
      </c>
      <c r="X142" s="9" t="s">
        <v>637</v>
      </c>
      <c r="Y142" s="9" t="s">
        <v>638</v>
      </c>
      <c r="Z142" s="3"/>
      <c r="AA142" s="3"/>
    </row>
    <row r="143" spans="1:27" ht="15.75" customHeight="1" x14ac:dyDescent="0.25">
      <c r="A143" s="8">
        <f t="shared" si="15"/>
        <v>46006</v>
      </c>
      <c r="B143" s="9" t="s">
        <v>639</v>
      </c>
      <c r="C143" s="10">
        <v>5069240710</v>
      </c>
      <c r="D143" s="10">
        <v>4914</v>
      </c>
      <c r="E143" s="3" t="s">
        <v>640</v>
      </c>
      <c r="F143" s="9" t="s">
        <v>641</v>
      </c>
      <c r="G143" s="11"/>
      <c r="H143" s="12">
        <v>46005</v>
      </c>
      <c r="I143" s="12">
        <v>46006</v>
      </c>
      <c r="J143" s="11">
        <v>12.26</v>
      </c>
      <c r="K143" s="3" t="s">
        <v>48</v>
      </c>
      <c r="L143" s="3"/>
      <c r="M143" s="9"/>
      <c r="N143" s="12">
        <f t="shared" si="11"/>
        <v>46020</v>
      </c>
      <c r="O143" s="9">
        <f t="shared" ca="1" si="1"/>
        <v>5</v>
      </c>
      <c r="P143" s="13" t="str">
        <f t="shared" si="2"/>
        <v>https://secure.booking.com/confirmation.html?bn=5069240710&amp;hc_origin=search&amp;pincode=4914&amp;source=help_center</v>
      </c>
      <c r="Q143" s="9" t="s">
        <v>49</v>
      </c>
      <c r="R143" s="9" t="s">
        <v>641</v>
      </c>
      <c r="S143" s="9" t="s">
        <v>50</v>
      </c>
      <c r="T143" s="9" t="s">
        <v>51</v>
      </c>
      <c r="U143" s="9" t="s">
        <v>642</v>
      </c>
      <c r="V143" s="9"/>
      <c r="W143" s="9" t="s">
        <v>32</v>
      </c>
      <c r="X143" s="9" t="s">
        <v>643</v>
      </c>
      <c r="Y143" s="9" t="s">
        <v>644</v>
      </c>
      <c r="Z143" s="3"/>
      <c r="AA143" s="3"/>
    </row>
    <row r="144" spans="1:27" ht="15.75" customHeight="1" x14ac:dyDescent="0.25">
      <c r="A144" s="8">
        <f t="shared" si="15"/>
        <v>46006</v>
      </c>
      <c r="B144" s="9" t="s">
        <v>87</v>
      </c>
      <c r="C144" s="10">
        <v>5545730582</v>
      </c>
      <c r="D144" s="10">
        <v>2147</v>
      </c>
      <c r="E144" s="3" t="s">
        <v>88</v>
      </c>
      <c r="F144" s="9" t="s">
        <v>89</v>
      </c>
      <c r="G144" s="11"/>
      <c r="H144" s="12">
        <v>46007</v>
      </c>
      <c r="I144" s="12">
        <v>46008</v>
      </c>
      <c r="J144" s="11">
        <v>120</v>
      </c>
      <c r="K144" s="3" t="s">
        <v>48</v>
      </c>
      <c r="L144" s="3"/>
      <c r="M144" s="9"/>
      <c r="N144" s="12">
        <f t="shared" si="11"/>
        <v>46022</v>
      </c>
      <c r="O144" s="9">
        <f t="shared" ca="1" si="1"/>
        <v>7</v>
      </c>
      <c r="P144" s="13" t="str">
        <f t="shared" si="2"/>
        <v>https://secure.booking.com/confirmation.html?bn=5545730582&amp;hc_origin=search&amp;pincode=2147&amp;source=help_center</v>
      </c>
      <c r="Q144" s="9" t="s">
        <v>49</v>
      </c>
      <c r="R144" s="9" t="s">
        <v>89</v>
      </c>
      <c r="S144" s="9" t="s">
        <v>102</v>
      </c>
      <c r="T144" s="9" t="s">
        <v>565</v>
      </c>
      <c r="U144" s="9" t="s">
        <v>183</v>
      </c>
      <c r="V144" s="9"/>
      <c r="W144" s="9" t="s">
        <v>32</v>
      </c>
      <c r="X144" s="9" t="s">
        <v>645</v>
      </c>
      <c r="Y144" s="9" t="s">
        <v>646</v>
      </c>
      <c r="Z144" s="3"/>
      <c r="AA144" s="3"/>
    </row>
    <row r="145" spans="1:27" ht="15.75" customHeight="1" x14ac:dyDescent="0.25">
      <c r="A145" s="8">
        <f t="shared" si="15"/>
        <v>46008</v>
      </c>
      <c r="B145" s="9" t="s">
        <v>647</v>
      </c>
      <c r="C145" s="10">
        <v>5364929763</v>
      </c>
      <c r="D145" s="10">
        <v>8365</v>
      </c>
      <c r="E145" s="3" t="s">
        <v>648</v>
      </c>
      <c r="F145" s="9" t="s">
        <v>649</v>
      </c>
      <c r="G145" s="11"/>
      <c r="H145" s="12">
        <v>46007</v>
      </c>
      <c r="I145" s="12">
        <v>46008</v>
      </c>
      <c r="J145" s="11">
        <v>31.81</v>
      </c>
      <c r="K145" s="3" t="s">
        <v>29</v>
      </c>
      <c r="L145" s="3"/>
      <c r="M145" s="9"/>
      <c r="N145" s="12">
        <f t="shared" si="11"/>
        <v>46022</v>
      </c>
      <c r="O145" s="9">
        <f t="shared" ca="1" si="1"/>
        <v>7</v>
      </c>
      <c r="P145" s="13" t="str">
        <f t="shared" si="2"/>
        <v>https://secure.booking.com/confirmation.html?bn=5364929763&amp;hc_origin=search&amp;pincode=8365&amp;source=help_center</v>
      </c>
      <c r="Q145" s="9" t="s">
        <v>140</v>
      </c>
      <c r="R145" s="9" t="s">
        <v>649</v>
      </c>
      <c r="S145" s="9" t="s">
        <v>650</v>
      </c>
      <c r="T145" s="9" t="s">
        <v>299</v>
      </c>
      <c r="U145" s="9" t="s">
        <v>651</v>
      </c>
      <c r="V145" s="9"/>
      <c r="W145" s="9" t="s">
        <v>32</v>
      </c>
      <c r="X145" s="9" t="s">
        <v>652</v>
      </c>
      <c r="Y145" s="9" t="s">
        <v>653</v>
      </c>
      <c r="Z145" s="3"/>
      <c r="AA145" s="3"/>
    </row>
    <row r="146" spans="1:27" ht="15.75" customHeight="1" x14ac:dyDescent="0.25">
      <c r="A146" s="8">
        <v>45960</v>
      </c>
      <c r="B146" s="13" t="s">
        <v>654</v>
      </c>
      <c r="C146" s="10">
        <v>5012357765</v>
      </c>
      <c r="D146" s="10">
        <v>6560</v>
      </c>
      <c r="E146" s="3" t="s">
        <v>655</v>
      </c>
      <c r="F146" s="9" t="s">
        <v>656</v>
      </c>
      <c r="G146" s="11">
        <v>4876.3</v>
      </c>
      <c r="H146" s="12">
        <v>45961</v>
      </c>
      <c r="I146" s="12">
        <v>45962</v>
      </c>
      <c r="J146" s="11"/>
      <c r="K146" s="3" t="s">
        <v>29</v>
      </c>
      <c r="L146" s="3" t="s">
        <v>483</v>
      </c>
      <c r="M146" s="9" t="s">
        <v>657</v>
      </c>
      <c r="N146" s="12">
        <f t="shared" ref="N146:N147" si="16">I146+65</f>
        <v>46027</v>
      </c>
      <c r="O146" s="9">
        <f t="shared" ca="1" si="1"/>
        <v>12</v>
      </c>
      <c r="P146" s="13" t="str">
        <f t="shared" si="2"/>
        <v>https://secure.booking.com/confirmation.html?bn=5012357765&amp;hc_origin=search&amp;pincode=6560&amp;source=help_center</v>
      </c>
      <c r="Q146" s="9" t="s">
        <v>140</v>
      </c>
      <c r="R146" s="9" t="s">
        <v>656</v>
      </c>
      <c r="S146" s="9" t="s">
        <v>658</v>
      </c>
      <c r="T146" s="9" t="s">
        <v>543</v>
      </c>
      <c r="U146" s="9"/>
      <c r="V146" s="9"/>
      <c r="W146" s="9" t="s">
        <v>32</v>
      </c>
      <c r="X146" s="9" t="s">
        <v>659</v>
      </c>
      <c r="Y146" s="9" t="s">
        <v>660</v>
      </c>
      <c r="Z146" s="3"/>
      <c r="AA146" s="3"/>
    </row>
    <row r="147" spans="1:27" ht="15.75" customHeight="1" x14ac:dyDescent="0.25">
      <c r="A147" s="8">
        <v>45960</v>
      </c>
      <c r="B147" s="13" t="s">
        <v>661</v>
      </c>
      <c r="C147" s="10">
        <v>6765099590</v>
      </c>
      <c r="D147" s="10">
        <v>4200</v>
      </c>
      <c r="E147" s="3" t="s">
        <v>662</v>
      </c>
      <c r="F147" s="9" t="s">
        <v>663</v>
      </c>
      <c r="G147" s="11" t="s">
        <v>664</v>
      </c>
      <c r="H147" s="12">
        <v>45961</v>
      </c>
      <c r="I147" s="12">
        <v>45962</v>
      </c>
      <c r="J147" s="11"/>
      <c r="K147" s="3" t="s">
        <v>48</v>
      </c>
      <c r="L147" s="3" t="s">
        <v>483</v>
      </c>
      <c r="M147" s="9" t="s">
        <v>657</v>
      </c>
      <c r="N147" s="12">
        <f t="shared" si="16"/>
        <v>46027</v>
      </c>
      <c r="O147" s="9">
        <f t="shared" ca="1" si="1"/>
        <v>12</v>
      </c>
      <c r="P147" s="13" t="str">
        <f t="shared" si="2"/>
        <v>https://secure.booking.com/confirmation.html?bn=6765099590&amp;hc_origin=search&amp;pincode=4200&amp;source=help_center</v>
      </c>
      <c r="Q147" s="9" t="s">
        <v>71</v>
      </c>
      <c r="R147" s="9" t="s">
        <v>663</v>
      </c>
      <c r="S147" s="9" t="s">
        <v>658</v>
      </c>
      <c r="T147" s="9" t="s">
        <v>543</v>
      </c>
      <c r="U147" s="9"/>
      <c r="V147" s="9"/>
      <c r="W147" s="9" t="s">
        <v>32</v>
      </c>
      <c r="X147" s="9" t="s">
        <v>665</v>
      </c>
      <c r="Y147" s="9" t="s">
        <v>666</v>
      </c>
      <c r="Z147" s="3"/>
      <c r="AA147" s="3"/>
    </row>
    <row r="148" spans="1:27" ht="15.75" customHeight="1" x14ac:dyDescent="0.25">
      <c r="A148" s="8">
        <v>45948</v>
      </c>
      <c r="B148" s="9" t="s">
        <v>667</v>
      </c>
      <c r="C148" s="10" t="s">
        <v>668</v>
      </c>
      <c r="D148" s="10" t="s">
        <v>646</v>
      </c>
      <c r="E148" s="3" t="s">
        <v>669</v>
      </c>
      <c r="F148" s="9" t="s">
        <v>670</v>
      </c>
      <c r="G148" s="11"/>
      <c r="H148" s="12">
        <v>46015</v>
      </c>
      <c r="I148" s="12">
        <v>46016</v>
      </c>
      <c r="J148" s="11">
        <v>28.84</v>
      </c>
      <c r="K148" s="3" t="s">
        <v>48</v>
      </c>
      <c r="L148" s="3"/>
      <c r="M148" s="9"/>
      <c r="N148" s="12">
        <f t="shared" ref="N148:N150" si="17">I148+14</f>
        <v>46030</v>
      </c>
      <c r="O148" s="9">
        <f t="shared" ca="1" si="1"/>
        <v>15</v>
      </c>
      <c r="P148" s="13" t="str">
        <f t="shared" si="2"/>
        <v>https://secure.booking.com/confirmation.html?bn=5932528680&amp;hc_origin=search&amp;pincode=2147&amp;source=help_center</v>
      </c>
      <c r="Q148" s="9" t="s">
        <v>49</v>
      </c>
      <c r="R148" s="9" t="s">
        <v>670</v>
      </c>
      <c r="S148" s="9" t="s">
        <v>671</v>
      </c>
      <c r="T148" s="9" t="s">
        <v>672</v>
      </c>
      <c r="U148" s="9" t="s">
        <v>673</v>
      </c>
      <c r="V148" s="9"/>
      <c r="W148" s="9" t="s">
        <v>32</v>
      </c>
      <c r="X148" s="9" t="s">
        <v>668</v>
      </c>
      <c r="Y148" s="9" t="s">
        <v>646</v>
      </c>
      <c r="Z148" s="3"/>
      <c r="AA148" s="3"/>
    </row>
    <row r="149" spans="1:27" ht="15.75" customHeight="1" x14ac:dyDescent="0.25">
      <c r="A149" s="8">
        <f t="shared" ref="A149:A150" si="18">I148</f>
        <v>46016</v>
      </c>
      <c r="B149" s="9" t="s">
        <v>667</v>
      </c>
      <c r="C149" s="10">
        <v>5932528680</v>
      </c>
      <c r="D149" s="10">
        <v>2147</v>
      </c>
      <c r="E149" s="3" t="s">
        <v>669</v>
      </c>
      <c r="F149" s="9" t="s">
        <v>670</v>
      </c>
      <c r="G149" s="11"/>
      <c r="H149" s="12">
        <v>46015</v>
      </c>
      <c r="I149" s="12">
        <v>46016</v>
      </c>
      <c r="J149" s="11">
        <v>28.84</v>
      </c>
      <c r="K149" s="3" t="s">
        <v>48</v>
      </c>
      <c r="L149" s="3"/>
      <c r="M149" s="9"/>
      <c r="N149" s="12">
        <f t="shared" si="17"/>
        <v>46030</v>
      </c>
      <c r="O149" s="9">
        <f t="shared" ca="1" si="1"/>
        <v>15</v>
      </c>
      <c r="P149" s="13" t="str">
        <f t="shared" si="2"/>
        <v>https://secure.booking.com/confirmation.html?bn=5932528680&amp;hc_origin=search&amp;pincode=2147&amp;source=help_center</v>
      </c>
      <c r="Q149" s="9" t="s">
        <v>49</v>
      </c>
      <c r="R149" s="9" t="s">
        <v>670</v>
      </c>
      <c r="S149" s="9" t="s">
        <v>671</v>
      </c>
      <c r="T149" s="9" t="s">
        <v>672</v>
      </c>
      <c r="U149" s="9" t="s">
        <v>673</v>
      </c>
      <c r="V149" s="9"/>
      <c r="W149" s="9" t="s">
        <v>32</v>
      </c>
      <c r="X149" s="9" t="s">
        <v>668</v>
      </c>
      <c r="Y149" s="9" t="s">
        <v>646</v>
      </c>
      <c r="Z149" s="3"/>
      <c r="AA149" s="3"/>
    </row>
    <row r="150" spans="1:27" ht="15.75" customHeight="1" x14ac:dyDescent="0.25">
      <c r="A150" s="8">
        <f t="shared" si="18"/>
        <v>46016</v>
      </c>
      <c r="B150" s="9" t="s">
        <v>454</v>
      </c>
      <c r="C150" s="10">
        <v>5047651437</v>
      </c>
      <c r="D150" s="10">
        <v>9755</v>
      </c>
      <c r="E150" s="3" t="s">
        <v>457</v>
      </c>
      <c r="F150" s="9" t="s">
        <v>458</v>
      </c>
      <c r="G150" s="11"/>
      <c r="H150" s="12">
        <v>46016</v>
      </c>
      <c r="I150" s="12">
        <v>46018</v>
      </c>
      <c r="J150" s="11">
        <v>85</v>
      </c>
      <c r="K150" s="3" t="s">
        <v>29</v>
      </c>
      <c r="L150" s="3"/>
      <c r="M150" s="9"/>
      <c r="N150" s="12">
        <f t="shared" si="17"/>
        <v>46032</v>
      </c>
      <c r="O150" s="9">
        <f t="shared" ca="1" si="1"/>
        <v>17</v>
      </c>
      <c r="P150" s="13" t="str">
        <f t="shared" si="2"/>
        <v>https://secure.booking.com/confirmation.html?bn=5047651437&amp;hc_origin=search&amp;pincode=9755&amp;source=help_center</v>
      </c>
      <c r="Q150" s="9" t="s">
        <v>31</v>
      </c>
      <c r="R150" s="9"/>
      <c r="S150" s="9"/>
      <c r="T150" s="9"/>
      <c r="U150" s="9"/>
      <c r="V150" s="9"/>
      <c r="W150" s="9" t="s">
        <v>32</v>
      </c>
      <c r="X150" s="9"/>
      <c r="Y150" s="9"/>
      <c r="Z150" s="3"/>
      <c r="AA150" s="3"/>
    </row>
    <row r="151" spans="1:27" ht="15.75" customHeight="1" x14ac:dyDescent="0.25">
      <c r="A151" s="8">
        <v>45960</v>
      </c>
      <c r="B151" s="13" t="s">
        <v>674</v>
      </c>
      <c r="C151" s="10">
        <v>6700611386</v>
      </c>
      <c r="D151" s="10">
        <v>1029</v>
      </c>
      <c r="E151" s="3" t="s">
        <v>675</v>
      </c>
      <c r="F151" s="9" t="s">
        <v>676</v>
      </c>
      <c r="G151" s="11">
        <v>5108.59</v>
      </c>
      <c r="H151" s="12">
        <v>45966</v>
      </c>
      <c r="I151" s="12">
        <v>45967</v>
      </c>
      <c r="J151" s="11"/>
      <c r="K151" s="3" t="s">
        <v>36</v>
      </c>
      <c r="L151" s="3" t="s">
        <v>483</v>
      </c>
      <c r="M151" s="9" t="s">
        <v>657</v>
      </c>
      <c r="N151" s="12">
        <f>I151+65</f>
        <v>46032</v>
      </c>
      <c r="O151" s="9">
        <f t="shared" ca="1" si="1"/>
        <v>17</v>
      </c>
      <c r="P151" s="13" t="str">
        <f t="shared" si="2"/>
        <v>https://secure.booking.com/confirmation.html?bn=6700611386&amp;hc_origin=search&amp;pincode=1029&amp;source=help_center</v>
      </c>
      <c r="Q151" s="9" t="s">
        <v>71</v>
      </c>
      <c r="R151" s="9" t="s">
        <v>676</v>
      </c>
      <c r="S151" s="9" t="s">
        <v>544</v>
      </c>
      <c r="T151" s="9" t="s">
        <v>677</v>
      </c>
      <c r="U151" s="9"/>
      <c r="V151" s="9"/>
      <c r="W151" s="9" t="s">
        <v>32</v>
      </c>
      <c r="X151" s="9" t="s">
        <v>678</v>
      </c>
      <c r="Y151" s="9" t="s">
        <v>679</v>
      </c>
      <c r="Z151" s="3"/>
      <c r="AA151" s="3"/>
    </row>
    <row r="152" spans="1:27" ht="15.75" customHeight="1" x14ac:dyDescent="0.25">
      <c r="A152" s="8">
        <v>45948</v>
      </c>
      <c r="B152" s="9" t="s">
        <v>680</v>
      </c>
      <c r="C152" s="10" t="s">
        <v>681</v>
      </c>
      <c r="D152" s="10" t="s">
        <v>682</v>
      </c>
      <c r="E152" s="3" t="s">
        <v>346</v>
      </c>
      <c r="F152" s="9" t="s">
        <v>347</v>
      </c>
      <c r="G152" s="11"/>
      <c r="H152" s="12">
        <v>46018</v>
      </c>
      <c r="I152" s="12">
        <v>46019</v>
      </c>
      <c r="J152" s="11">
        <v>23.07</v>
      </c>
      <c r="K152" s="3" t="s">
        <v>48</v>
      </c>
      <c r="L152" s="3"/>
      <c r="M152" s="9"/>
      <c r="N152" s="12">
        <f t="shared" ref="N152:N175" si="19">I152+14</f>
        <v>46033</v>
      </c>
      <c r="O152" s="9">
        <f t="shared" ca="1" si="1"/>
        <v>18</v>
      </c>
      <c r="P152" s="13" t="str">
        <f t="shared" si="2"/>
        <v>https://secure.booking.com/confirmation.html?bn=6589452267&amp;hc_origin=search&amp;pincode=3650&amp;source=help_center</v>
      </c>
      <c r="Q152" s="9" t="s">
        <v>49</v>
      </c>
      <c r="R152" s="9" t="s">
        <v>347</v>
      </c>
      <c r="S152" s="9" t="s">
        <v>683</v>
      </c>
      <c r="T152" s="9" t="s">
        <v>684</v>
      </c>
      <c r="U152" s="9" t="s">
        <v>685</v>
      </c>
      <c r="V152" s="9"/>
      <c r="W152" s="9" t="s">
        <v>32</v>
      </c>
      <c r="X152" s="9" t="s">
        <v>681</v>
      </c>
      <c r="Y152" s="9" t="s">
        <v>682</v>
      </c>
      <c r="Z152" s="3"/>
      <c r="AA152" s="3"/>
    </row>
    <row r="153" spans="1:27" ht="15.75" customHeight="1" x14ac:dyDescent="0.25">
      <c r="A153" s="8">
        <f>I152</f>
        <v>46019</v>
      </c>
      <c r="B153" s="9" t="s">
        <v>686</v>
      </c>
      <c r="C153" s="10">
        <v>6296555273</v>
      </c>
      <c r="D153" s="10">
        <v>8758</v>
      </c>
      <c r="E153" s="3" t="s">
        <v>687</v>
      </c>
      <c r="F153" s="9" t="s">
        <v>688</v>
      </c>
      <c r="G153" s="11"/>
      <c r="H153" s="12">
        <v>46036</v>
      </c>
      <c r="I153" s="12">
        <v>46037</v>
      </c>
      <c r="J153" s="11"/>
      <c r="K153" s="3" t="s">
        <v>36</v>
      </c>
      <c r="L153" s="3"/>
      <c r="M153" s="9"/>
      <c r="N153" s="12">
        <f t="shared" si="19"/>
        <v>46051</v>
      </c>
      <c r="O153" s="9">
        <f t="shared" ca="1" si="1"/>
        <v>36</v>
      </c>
      <c r="P153" s="13" t="str">
        <f t="shared" si="2"/>
        <v>https://secure.booking.com/confirmation.html?bn=6296555273&amp;hc_origin=search&amp;pincode=8758&amp;source=help_center</v>
      </c>
      <c r="Q153" s="9" t="s">
        <v>71</v>
      </c>
      <c r="R153" s="9" t="s">
        <v>688</v>
      </c>
      <c r="S153" s="9" t="s">
        <v>292</v>
      </c>
      <c r="T153" s="9" t="s">
        <v>517</v>
      </c>
      <c r="U153" s="9"/>
      <c r="V153" s="9"/>
      <c r="W153" s="9" t="s">
        <v>32</v>
      </c>
      <c r="X153" s="9" t="s">
        <v>689</v>
      </c>
      <c r="Y153" s="9" t="s">
        <v>690</v>
      </c>
      <c r="Z153" s="3"/>
      <c r="AA153" s="3"/>
    </row>
    <row r="154" spans="1:27" ht="15.75" customHeight="1" x14ac:dyDescent="0.25">
      <c r="A154" s="8">
        <v>45963</v>
      </c>
      <c r="B154" s="13" t="s">
        <v>680</v>
      </c>
      <c r="C154" s="10">
        <v>6985656656</v>
      </c>
      <c r="D154" s="10">
        <v>4946</v>
      </c>
      <c r="E154" s="3" t="s">
        <v>541</v>
      </c>
      <c r="F154" s="9" t="s">
        <v>542</v>
      </c>
      <c r="G154" s="11">
        <v>1227.5999999999999</v>
      </c>
      <c r="H154" s="12">
        <v>45963</v>
      </c>
      <c r="I154" s="12">
        <v>45965</v>
      </c>
      <c r="J154" s="11"/>
      <c r="K154" s="3" t="s">
        <v>36</v>
      </c>
      <c r="L154" s="3" t="s">
        <v>30</v>
      </c>
      <c r="M154" s="9"/>
      <c r="N154" s="12">
        <f t="shared" si="19"/>
        <v>45979</v>
      </c>
      <c r="O154" s="9">
        <f t="shared" ca="1" si="1"/>
        <v>-36</v>
      </c>
      <c r="P154" s="13" t="str">
        <f t="shared" si="2"/>
        <v>https://secure.booking.com/confirmation.html?bn=6985656656&amp;hc_origin=search&amp;pincode=4946&amp;source=help_center</v>
      </c>
      <c r="Q154" s="9" t="s">
        <v>71</v>
      </c>
      <c r="R154" s="9"/>
      <c r="S154" s="9" t="s">
        <v>691</v>
      </c>
      <c r="T154" s="9" t="s">
        <v>692</v>
      </c>
      <c r="U154" s="9"/>
      <c r="V154" s="9"/>
      <c r="W154" s="9" t="s">
        <v>32</v>
      </c>
      <c r="X154" s="9" t="s">
        <v>693</v>
      </c>
      <c r="Y154" s="9" t="s">
        <v>694</v>
      </c>
      <c r="Z154" s="3"/>
      <c r="AA154" s="3"/>
    </row>
    <row r="155" spans="1:27" ht="15.75" customHeight="1" x14ac:dyDescent="0.25">
      <c r="A155" s="8">
        <v>45963</v>
      </c>
      <c r="B155" s="13" t="s">
        <v>53</v>
      </c>
      <c r="C155" s="10">
        <v>5531382659</v>
      </c>
      <c r="D155" s="10">
        <v>9989</v>
      </c>
      <c r="E155" s="3" t="s">
        <v>695</v>
      </c>
      <c r="F155" s="9" t="s">
        <v>696</v>
      </c>
      <c r="G155" s="11">
        <v>1270.81</v>
      </c>
      <c r="H155" s="12">
        <v>45963</v>
      </c>
      <c r="I155" s="12">
        <v>45965</v>
      </c>
      <c r="J155" s="11">
        <v>120</v>
      </c>
      <c r="K155" s="3" t="s">
        <v>36</v>
      </c>
      <c r="L155" s="3" t="s">
        <v>483</v>
      </c>
      <c r="M155" s="9"/>
      <c r="N155" s="12">
        <f t="shared" si="19"/>
        <v>45979</v>
      </c>
      <c r="O155" s="9">
        <f t="shared" ca="1" si="1"/>
        <v>-36</v>
      </c>
      <c r="P155" s="13" t="str">
        <f t="shared" si="2"/>
        <v>https://secure.booking.com/confirmation.html?bn=5531382659&amp;hc_origin=search&amp;pincode=9989&amp;source=help_center</v>
      </c>
      <c r="Q155" s="9" t="s">
        <v>140</v>
      </c>
      <c r="R155" s="9" t="s">
        <v>696</v>
      </c>
      <c r="S155" s="9" t="s">
        <v>697</v>
      </c>
      <c r="T155" s="9" t="s">
        <v>698</v>
      </c>
      <c r="U155" s="9" t="s">
        <v>699</v>
      </c>
      <c r="V155" s="9"/>
      <c r="W155" s="9" t="s">
        <v>32</v>
      </c>
      <c r="X155" s="9" t="s">
        <v>700</v>
      </c>
      <c r="Y155" s="9" t="s">
        <v>701</v>
      </c>
      <c r="Z155" s="3"/>
      <c r="AA155" s="3"/>
    </row>
    <row r="156" spans="1:27" ht="15.75" customHeight="1" x14ac:dyDescent="0.25">
      <c r="A156" s="8">
        <v>45968</v>
      </c>
      <c r="B156" s="13" t="s">
        <v>702</v>
      </c>
      <c r="C156" s="10">
        <v>6506782988</v>
      </c>
      <c r="D156" s="10">
        <v>7924</v>
      </c>
      <c r="E156" s="3"/>
      <c r="F156" s="9" t="s">
        <v>703</v>
      </c>
      <c r="G156" s="11">
        <v>1704.46</v>
      </c>
      <c r="H156" s="12">
        <v>45968</v>
      </c>
      <c r="I156" s="12">
        <v>45971</v>
      </c>
      <c r="J156" s="11">
        <v>111</v>
      </c>
      <c r="K156" s="3" t="s">
        <v>29</v>
      </c>
      <c r="L156" s="3" t="s">
        <v>483</v>
      </c>
      <c r="M156" s="9"/>
      <c r="N156" s="12">
        <f t="shared" si="19"/>
        <v>45985</v>
      </c>
      <c r="O156" s="9">
        <f t="shared" ca="1" si="1"/>
        <v>-30</v>
      </c>
      <c r="P156" s="13" t="str">
        <f t="shared" si="2"/>
        <v>https://secure.booking.com/confirmation.html?bn=6506782988&amp;hc_origin=search&amp;pincode=7924&amp;source=help_center</v>
      </c>
      <c r="Q156" s="9" t="s">
        <v>49</v>
      </c>
      <c r="R156" s="9" t="s">
        <v>703</v>
      </c>
      <c r="S156" s="9" t="s">
        <v>704</v>
      </c>
      <c r="T156" s="9" t="s">
        <v>705</v>
      </c>
      <c r="U156" s="9" t="s">
        <v>272</v>
      </c>
      <c r="V156" s="9"/>
      <c r="W156" s="9" t="s">
        <v>32</v>
      </c>
      <c r="X156" s="9" t="s">
        <v>706</v>
      </c>
      <c r="Y156" s="9" t="s">
        <v>707</v>
      </c>
      <c r="Z156" s="3"/>
      <c r="AA156" s="3"/>
    </row>
    <row r="157" spans="1:27" ht="15.75" customHeight="1" x14ac:dyDescent="0.25">
      <c r="A157" s="8">
        <v>45968</v>
      </c>
      <c r="B157" s="13" t="s">
        <v>708</v>
      </c>
      <c r="C157" s="10">
        <v>5396724171</v>
      </c>
      <c r="D157" s="10">
        <v>2683</v>
      </c>
      <c r="E157" s="3"/>
      <c r="F157" s="9" t="s">
        <v>709</v>
      </c>
      <c r="G157" s="11">
        <v>1328.81</v>
      </c>
      <c r="H157" s="12">
        <v>45968</v>
      </c>
      <c r="I157" s="12">
        <v>45970</v>
      </c>
      <c r="J157" s="11">
        <v>111</v>
      </c>
      <c r="K157" s="3" t="s">
        <v>29</v>
      </c>
      <c r="L157" s="3" t="s">
        <v>483</v>
      </c>
      <c r="M157" s="9"/>
      <c r="N157" s="12">
        <f t="shared" si="19"/>
        <v>45984</v>
      </c>
      <c r="O157" s="9">
        <f t="shared" ca="1" si="1"/>
        <v>-31</v>
      </c>
      <c r="P157" s="13" t="str">
        <f t="shared" si="2"/>
        <v>https://secure.booking.com/confirmation.html?bn=5396724171&amp;hc_origin=search&amp;pincode=2683&amp;source=help_center</v>
      </c>
      <c r="Q157" s="9" t="s">
        <v>140</v>
      </c>
      <c r="R157" s="9" t="s">
        <v>709</v>
      </c>
      <c r="S157" s="9" t="s">
        <v>704</v>
      </c>
      <c r="T157" s="9" t="s">
        <v>710</v>
      </c>
      <c r="U157" s="9" t="s">
        <v>272</v>
      </c>
      <c r="V157" s="9"/>
      <c r="W157" s="9" t="s">
        <v>32</v>
      </c>
      <c r="X157" s="9" t="s">
        <v>711</v>
      </c>
      <c r="Y157" s="9" t="s">
        <v>712</v>
      </c>
      <c r="Z157" s="3"/>
      <c r="AA157" s="3"/>
    </row>
    <row r="158" spans="1:27" ht="15.75" customHeight="1" x14ac:dyDescent="0.25">
      <c r="A158" s="8">
        <v>45969</v>
      </c>
      <c r="B158" s="16" t="s">
        <v>713</v>
      </c>
      <c r="C158" s="10">
        <v>6819875747</v>
      </c>
      <c r="D158" s="10">
        <v>2086</v>
      </c>
      <c r="E158" s="3"/>
      <c r="F158" s="9" t="s">
        <v>714</v>
      </c>
      <c r="G158" s="11">
        <v>754.96</v>
      </c>
      <c r="H158" s="12">
        <v>45969</v>
      </c>
      <c r="I158" s="12">
        <v>45971</v>
      </c>
      <c r="J158" s="11">
        <v>108</v>
      </c>
      <c r="K158" s="3" t="s">
        <v>36</v>
      </c>
      <c r="L158" s="3" t="s">
        <v>483</v>
      </c>
      <c r="M158" s="9"/>
      <c r="N158" s="12">
        <f t="shared" si="19"/>
        <v>45985</v>
      </c>
      <c r="O158" s="9">
        <f t="shared" ca="1" si="1"/>
        <v>-30</v>
      </c>
      <c r="P158" s="13" t="str">
        <f t="shared" si="2"/>
        <v>https://secure.booking.com/confirmation.html?bn=6819875747&amp;hc_origin=search&amp;pincode=2086&amp;source=help_center</v>
      </c>
      <c r="Q158" s="9" t="s">
        <v>49</v>
      </c>
      <c r="R158" s="9" t="s">
        <v>714</v>
      </c>
      <c r="S158" s="9" t="s">
        <v>715</v>
      </c>
      <c r="T158" s="9" t="s">
        <v>705</v>
      </c>
      <c r="U158" s="9" t="s">
        <v>716</v>
      </c>
      <c r="V158" s="9"/>
      <c r="W158" s="9" t="s">
        <v>32</v>
      </c>
      <c r="X158" s="9" t="s">
        <v>717</v>
      </c>
      <c r="Y158" s="9" t="s">
        <v>718</v>
      </c>
      <c r="Z158" s="3"/>
      <c r="AA158" s="3"/>
    </row>
    <row r="159" spans="1:27" ht="15.75" customHeight="1" x14ac:dyDescent="0.25">
      <c r="A159" s="8">
        <v>45969</v>
      </c>
      <c r="B159" s="13" t="s">
        <v>719</v>
      </c>
      <c r="C159" s="10">
        <v>5068800316</v>
      </c>
      <c r="D159" s="10">
        <v>130</v>
      </c>
      <c r="E159" s="3"/>
      <c r="F159" s="9" t="s">
        <v>421</v>
      </c>
      <c r="G159" s="11">
        <v>1211.22</v>
      </c>
      <c r="H159" s="12">
        <v>45969</v>
      </c>
      <c r="I159" s="12">
        <v>45971</v>
      </c>
      <c r="J159" s="11">
        <v>108</v>
      </c>
      <c r="K159" s="3" t="s">
        <v>29</v>
      </c>
      <c r="L159" s="3" t="s">
        <v>483</v>
      </c>
      <c r="M159" s="9"/>
      <c r="N159" s="12">
        <f t="shared" si="19"/>
        <v>45985</v>
      </c>
      <c r="O159" s="9">
        <f t="shared" ca="1" si="1"/>
        <v>-30</v>
      </c>
      <c r="P159" s="13" t="str">
        <f t="shared" si="2"/>
        <v>https://secure.booking.com/confirmation.html?bn=5068800316&amp;hc_origin=search&amp;pincode=130&amp;source=help_center</v>
      </c>
      <c r="Q159" s="9" t="s">
        <v>49</v>
      </c>
      <c r="R159" s="9" t="s">
        <v>421</v>
      </c>
      <c r="S159" s="9" t="s">
        <v>715</v>
      </c>
      <c r="T159" s="9" t="s">
        <v>705</v>
      </c>
      <c r="U159" s="9"/>
      <c r="V159" s="9"/>
      <c r="W159" s="9" t="s">
        <v>32</v>
      </c>
      <c r="X159" s="9" t="s">
        <v>720</v>
      </c>
      <c r="Y159" s="9" t="s">
        <v>721</v>
      </c>
      <c r="Z159" s="3"/>
      <c r="AA159" s="3"/>
    </row>
    <row r="160" spans="1:27" ht="15.75" customHeight="1" x14ac:dyDescent="0.25">
      <c r="A160" s="8">
        <v>45969</v>
      </c>
      <c r="B160" s="13" t="s">
        <v>722</v>
      </c>
      <c r="C160" s="10">
        <v>5068848811</v>
      </c>
      <c r="D160" s="10">
        <v>3442</v>
      </c>
      <c r="E160" s="3"/>
      <c r="F160" s="9" t="s">
        <v>723</v>
      </c>
      <c r="G160" s="11">
        <v>1314.33</v>
      </c>
      <c r="H160" s="12">
        <v>45969</v>
      </c>
      <c r="I160" s="12">
        <v>45973</v>
      </c>
      <c r="J160" s="11"/>
      <c r="K160" s="3" t="s">
        <v>36</v>
      </c>
      <c r="L160" s="3" t="s">
        <v>483</v>
      </c>
      <c r="M160" s="9"/>
      <c r="N160" s="12">
        <f t="shared" si="19"/>
        <v>45987</v>
      </c>
      <c r="O160" s="9">
        <f t="shared" ca="1" si="1"/>
        <v>-28</v>
      </c>
      <c r="P160" s="13" t="str">
        <f t="shared" si="2"/>
        <v>https://secure.booking.com/confirmation.html?bn=5068848811&amp;hc_origin=search&amp;pincode=3442&amp;source=help_center</v>
      </c>
      <c r="Q160" s="9" t="s">
        <v>71</v>
      </c>
      <c r="R160" s="9" t="s">
        <v>723</v>
      </c>
      <c r="S160" s="9" t="s">
        <v>715</v>
      </c>
      <c r="T160" s="9" t="s">
        <v>724</v>
      </c>
      <c r="U160" s="9"/>
      <c r="V160" s="9"/>
      <c r="W160" s="9" t="s">
        <v>32</v>
      </c>
      <c r="X160" s="9" t="s">
        <v>725</v>
      </c>
      <c r="Y160" s="9" t="s">
        <v>726</v>
      </c>
      <c r="Z160" s="3"/>
      <c r="AA160" s="3"/>
    </row>
    <row r="161" spans="1:27" ht="15.75" customHeight="1" x14ac:dyDescent="0.25">
      <c r="A161" s="8">
        <v>45969</v>
      </c>
      <c r="B161" s="13" t="s">
        <v>727</v>
      </c>
      <c r="C161" s="10">
        <v>5934243845</v>
      </c>
      <c r="D161" s="10">
        <v>7508</v>
      </c>
      <c r="E161" s="3"/>
      <c r="F161" s="9" t="s">
        <v>383</v>
      </c>
      <c r="G161" s="11">
        <v>1048.54</v>
      </c>
      <c r="H161" s="12">
        <v>45969</v>
      </c>
      <c r="I161" s="12">
        <v>45973</v>
      </c>
      <c r="J161" s="11">
        <v>108</v>
      </c>
      <c r="K161" s="3" t="s">
        <v>29</v>
      </c>
      <c r="L161" s="3" t="s">
        <v>483</v>
      </c>
      <c r="M161" s="9"/>
      <c r="N161" s="12">
        <f t="shared" si="19"/>
        <v>45987</v>
      </c>
      <c r="O161" s="9">
        <f t="shared" ca="1" si="1"/>
        <v>-28</v>
      </c>
      <c r="P161" s="13" t="str">
        <f t="shared" si="2"/>
        <v>https://secure.booking.com/confirmation.html?bn=5934243845&amp;hc_origin=search&amp;pincode=7508&amp;source=help_center</v>
      </c>
      <c r="Q161" s="9" t="s">
        <v>49</v>
      </c>
      <c r="R161" s="9" t="s">
        <v>383</v>
      </c>
      <c r="S161" s="9" t="s">
        <v>715</v>
      </c>
      <c r="T161" s="9" t="s">
        <v>724</v>
      </c>
      <c r="U161" s="9" t="s">
        <v>728</v>
      </c>
      <c r="V161" s="9"/>
      <c r="W161" s="9" t="s">
        <v>32</v>
      </c>
      <c r="X161" s="9" t="s">
        <v>729</v>
      </c>
      <c r="Y161" s="9" t="s">
        <v>730</v>
      </c>
      <c r="Z161" s="3"/>
      <c r="AA161" s="3"/>
    </row>
    <row r="162" spans="1:27" ht="15.75" customHeight="1" x14ac:dyDescent="0.25">
      <c r="A162" s="8">
        <v>45969</v>
      </c>
      <c r="B162" s="13" t="s">
        <v>731</v>
      </c>
      <c r="C162" s="10">
        <v>5168699450</v>
      </c>
      <c r="D162" s="10">
        <v>4047</v>
      </c>
      <c r="E162" s="3"/>
      <c r="F162" s="9" t="s">
        <v>86</v>
      </c>
      <c r="G162" s="11">
        <v>1517.08</v>
      </c>
      <c r="H162" s="12">
        <v>45969</v>
      </c>
      <c r="I162" s="12">
        <v>45975</v>
      </c>
      <c r="J162" s="11">
        <v>108</v>
      </c>
      <c r="K162" s="3" t="s">
        <v>29</v>
      </c>
      <c r="L162" s="3" t="s">
        <v>483</v>
      </c>
      <c r="M162" s="9"/>
      <c r="N162" s="12">
        <f t="shared" si="19"/>
        <v>45989</v>
      </c>
      <c r="O162" s="9">
        <f t="shared" ca="1" si="1"/>
        <v>-26</v>
      </c>
      <c r="P162" s="13" t="str">
        <f t="shared" si="2"/>
        <v>https://secure.booking.com/confirmation.html?bn=5168699450&amp;hc_origin=search&amp;pincode=4047&amp;source=help_center</v>
      </c>
      <c r="Q162" s="9" t="s">
        <v>49</v>
      </c>
      <c r="R162" s="9" t="s">
        <v>86</v>
      </c>
      <c r="S162" s="9" t="s">
        <v>715</v>
      </c>
      <c r="T162" s="9" t="s">
        <v>732</v>
      </c>
      <c r="U162" s="9" t="s">
        <v>272</v>
      </c>
      <c r="V162" s="9"/>
      <c r="W162" s="9" t="s">
        <v>32</v>
      </c>
      <c r="X162" s="9" t="s">
        <v>733</v>
      </c>
      <c r="Y162" s="9" t="s">
        <v>734</v>
      </c>
      <c r="Z162" s="3"/>
      <c r="AA162" s="3"/>
    </row>
    <row r="163" spans="1:27" ht="15.75" customHeight="1" x14ac:dyDescent="0.25">
      <c r="A163" s="8">
        <v>45969</v>
      </c>
      <c r="B163" s="13" t="s">
        <v>735</v>
      </c>
      <c r="C163" s="10">
        <v>5963179434</v>
      </c>
      <c r="D163" s="10">
        <v>6904</v>
      </c>
      <c r="E163" s="3"/>
      <c r="F163" s="9" t="s">
        <v>67</v>
      </c>
      <c r="G163" s="11">
        <v>1135.68</v>
      </c>
      <c r="H163" s="12">
        <v>45969</v>
      </c>
      <c r="I163" s="12">
        <v>45973</v>
      </c>
      <c r="J163" s="11">
        <v>113.57</v>
      </c>
      <c r="K163" s="3" t="s">
        <v>48</v>
      </c>
      <c r="L163" s="3" t="s">
        <v>483</v>
      </c>
      <c r="M163" s="9"/>
      <c r="N163" s="12">
        <f t="shared" si="19"/>
        <v>45987</v>
      </c>
      <c r="O163" s="9">
        <f t="shared" ca="1" si="1"/>
        <v>-28</v>
      </c>
      <c r="P163" s="13" t="str">
        <f t="shared" si="2"/>
        <v>https://secure.booking.com/confirmation.html?bn=5963179434&amp;hc_origin=search&amp;pincode=6904&amp;source=help_center</v>
      </c>
      <c r="Q163" s="9" t="s">
        <v>49</v>
      </c>
      <c r="R163" s="9" t="s">
        <v>67</v>
      </c>
      <c r="S163" s="9" t="s">
        <v>715</v>
      </c>
      <c r="T163" s="9" t="s">
        <v>724</v>
      </c>
      <c r="U163" s="9" t="s">
        <v>736</v>
      </c>
      <c r="V163" s="9"/>
      <c r="W163" s="9" t="s">
        <v>32</v>
      </c>
      <c r="X163" s="9" t="s">
        <v>737</v>
      </c>
      <c r="Y163" s="9" t="s">
        <v>738</v>
      </c>
      <c r="Z163" s="3"/>
      <c r="AA163" s="3"/>
    </row>
    <row r="164" spans="1:27" ht="15.75" customHeight="1" x14ac:dyDescent="0.25">
      <c r="A164" s="17">
        <v>45973</v>
      </c>
      <c r="B164" s="15" t="s">
        <v>739</v>
      </c>
      <c r="C164" s="18">
        <v>6117779982</v>
      </c>
      <c r="D164" s="18">
        <v>6154</v>
      </c>
      <c r="E164" s="19"/>
      <c r="F164" s="19" t="s">
        <v>58</v>
      </c>
      <c r="G164" s="20">
        <v>1508.52</v>
      </c>
      <c r="H164" s="17">
        <v>45973</v>
      </c>
      <c r="I164" s="17">
        <v>45974</v>
      </c>
      <c r="J164" s="21">
        <v>120</v>
      </c>
      <c r="K164" s="3" t="s">
        <v>29</v>
      </c>
      <c r="L164" s="19" t="s">
        <v>30</v>
      </c>
      <c r="M164" s="9"/>
      <c r="N164" s="12">
        <f t="shared" si="19"/>
        <v>45988</v>
      </c>
      <c r="O164" s="9">
        <f t="shared" ca="1" si="1"/>
        <v>-27</v>
      </c>
      <c r="P164" s="13" t="str">
        <f t="shared" si="2"/>
        <v>https://secure.booking.com/confirmation.html?bn=6117779982&amp;hc_origin=search&amp;pincode=6154&amp;source=help_center</v>
      </c>
      <c r="Q164" s="9"/>
      <c r="R164" s="9"/>
      <c r="S164" s="9"/>
      <c r="T164" s="9"/>
      <c r="U164" s="9"/>
      <c r="V164" s="9"/>
      <c r="W164" s="9"/>
      <c r="X164" s="9"/>
      <c r="Y164" s="9"/>
      <c r="Z164" s="3"/>
      <c r="AA164" s="3"/>
    </row>
    <row r="165" spans="1:27" ht="15.75" customHeight="1" x14ac:dyDescent="0.25">
      <c r="A165" s="17">
        <v>45973</v>
      </c>
      <c r="B165" s="15" t="s">
        <v>740</v>
      </c>
      <c r="C165" s="18">
        <v>5652187987</v>
      </c>
      <c r="D165" s="18">
        <v>5415</v>
      </c>
      <c r="E165" s="19"/>
      <c r="F165" s="19" t="s">
        <v>415</v>
      </c>
      <c r="G165" s="20">
        <v>752.07</v>
      </c>
      <c r="H165" s="17">
        <v>46067</v>
      </c>
      <c r="I165" s="17">
        <v>46068</v>
      </c>
      <c r="J165" s="21">
        <v>120</v>
      </c>
      <c r="K165" s="3" t="s">
        <v>48</v>
      </c>
      <c r="L165" s="19" t="s">
        <v>30</v>
      </c>
      <c r="M165" s="9"/>
      <c r="N165" s="12">
        <f t="shared" si="19"/>
        <v>46082</v>
      </c>
      <c r="O165" s="9">
        <f t="shared" ca="1" si="1"/>
        <v>67</v>
      </c>
      <c r="P165" s="13" t="str">
        <f t="shared" si="2"/>
        <v>https://secure.booking.com/confirmation.html?bn=5652187987&amp;hc_origin=search&amp;pincode=5415&amp;source=help_center</v>
      </c>
      <c r="Q165" s="9"/>
      <c r="R165" s="9"/>
      <c r="S165" s="9"/>
      <c r="T165" s="9"/>
      <c r="U165" s="9"/>
      <c r="V165" s="9"/>
      <c r="W165" s="9"/>
      <c r="X165" s="9"/>
      <c r="Y165" s="9"/>
      <c r="Z165" s="3"/>
      <c r="AA165" s="3"/>
    </row>
    <row r="166" spans="1:27" ht="15.75" customHeight="1" x14ac:dyDescent="0.25">
      <c r="A166" s="17">
        <v>45973</v>
      </c>
      <c r="B166" s="15" t="s">
        <v>741</v>
      </c>
      <c r="C166" s="18">
        <v>5732292727</v>
      </c>
      <c r="D166" s="18">
        <v>7311</v>
      </c>
      <c r="E166" s="19"/>
      <c r="F166" s="19" t="s">
        <v>461</v>
      </c>
      <c r="G166" s="20">
        <v>1211.6500000000001</v>
      </c>
      <c r="H166" s="17">
        <v>45973</v>
      </c>
      <c r="I166" s="17">
        <v>45975</v>
      </c>
      <c r="J166" s="21">
        <v>120</v>
      </c>
      <c r="K166" s="3" t="s">
        <v>36</v>
      </c>
      <c r="L166" s="19" t="s">
        <v>483</v>
      </c>
      <c r="M166" s="9"/>
      <c r="N166" s="12">
        <f t="shared" si="19"/>
        <v>45989</v>
      </c>
      <c r="O166" s="9">
        <f t="shared" ca="1" si="1"/>
        <v>-26</v>
      </c>
      <c r="P166" s="13" t="str">
        <f t="shared" si="2"/>
        <v>https://secure.booking.com/confirmation.html?bn=5732292727&amp;hc_origin=search&amp;pincode=7311&amp;source=help_center</v>
      </c>
      <c r="Q166" s="9"/>
      <c r="R166" s="9"/>
      <c r="S166" s="9"/>
      <c r="T166" s="9"/>
      <c r="U166" s="9"/>
      <c r="V166" s="9"/>
      <c r="W166" s="9"/>
      <c r="X166" s="9"/>
      <c r="Y166" s="9"/>
      <c r="Z166" s="3"/>
      <c r="AA166" s="3"/>
    </row>
    <row r="167" spans="1:27" ht="15.75" customHeight="1" x14ac:dyDescent="0.25">
      <c r="A167" s="17">
        <v>45973</v>
      </c>
      <c r="B167" s="15" t="s">
        <v>742</v>
      </c>
      <c r="C167" s="18">
        <v>5102467479</v>
      </c>
      <c r="D167" s="18">
        <v>4071</v>
      </c>
      <c r="E167" s="19"/>
      <c r="F167" s="19" t="s">
        <v>330</v>
      </c>
      <c r="G167" s="20">
        <v>783.52</v>
      </c>
      <c r="H167" s="17">
        <v>46067</v>
      </c>
      <c r="I167" s="17">
        <v>46068</v>
      </c>
      <c r="J167" s="21">
        <v>120</v>
      </c>
      <c r="K167" s="3" t="s">
        <v>48</v>
      </c>
      <c r="L167" s="19" t="s">
        <v>483</v>
      </c>
      <c r="M167" s="9"/>
      <c r="N167" s="12">
        <f t="shared" si="19"/>
        <v>46082</v>
      </c>
      <c r="O167" s="9">
        <f t="shared" ca="1" si="1"/>
        <v>67</v>
      </c>
      <c r="P167" s="13" t="str">
        <f t="shared" si="2"/>
        <v>https://secure.booking.com/confirmation.html?bn=5102467479&amp;hc_origin=search&amp;pincode=4071&amp;source=help_center</v>
      </c>
      <c r="Q167" s="9"/>
      <c r="R167" s="9"/>
      <c r="S167" s="9"/>
      <c r="T167" s="9"/>
      <c r="U167" s="9"/>
      <c r="V167" s="9"/>
      <c r="W167" s="9"/>
      <c r="X167" s="9"/>
      <c r="Y167" s="9"/>
      <c r="Z167" s="3"/>
      <c r="AA167" s="3"/>
    </row>
    <row r="168" spans="1:27" ht="15.75" customHeight="1" x14ac:dyDescent="0.25">
      <c r="A168" s="17">
        <v>45975</v>
      </c>
      <c r="B168" s="15" t="s">
        <v>743</v>
      </c>
      <c r="C168" s="19">
        <v>5119073287</v>
      </c>
      <c r="D168" s="19">
        <v>945</v>
      </c>
      <c r="E168" s="19"/>
      <c r="F168" s="19" t="s">
        <v>234</v>
      </c>
      <c r="G168" s="21">
        <v>1136.72</v>
      </c>
      <c r="H168" s="17">
        <v>45975</v>
      </c>
      <c r="I168" s="17">
        <v>45977</v>
      </c>
      <c r="J168" s="21">
        <v>120</v>
      </c>
      <c r="K168" s="3" t="s">
        <v>36</v>
      </c>
      <c r="L168" s="19" t="s">
        <v>483</v>
      </c>
      <c r="M168" s="9"/>
      <c r="N168" s="12">
        <f t="shared" si="19"/>
        <v>45991</v>
      </c>
      <c r="O168" s="9">
        <f t="shared" ca="1" si="1"/>
        <v>-24</v>
      </c>
      <c r="P168" s="13" t="str">
        <f t="shared" si="2"/>
        <v>https://secure.booking.com/confirmation.html?bn=5119073287&amp;hc_origin=search&amp;pincode=945&amp;source=help_center</v>
      </c>
      <c r="Q168" s="9"/>
      <c r="R168" s="9"/>
      <c r="S168" s="9"/>
      <c r="T168" s="9"/>
      <c r="U168" s="9"/>
      <c r="V168" s="9"/>
      <c r="W168" s="9"/>
      <c r="X168" s="9"/>
      <c r="Y168" s="9"/>
      <c r="Z168" s="3"/>
      <c r="AA168" s="3"/>
    </row>
    <row r="169" spans="1:27" ht="15.75" customHeight="1" x14ac:dyDescent="0.25">
      <c r="A169" s="17">
        <v>45975</v>
      </c>
      <c r="B169" s="15" t="s">
        <v>744</v>
      </c>
      <c r="C169" s="19">
        <v>5366897765</v>
      </c>
      <c r="D169" s="19">
        <v>4902</v>
      </c>
      <c r="E169" s="19"/>
      <c r="F169" s="19" t="s">
        <v>307</v>
      </c>
      <c r="G169" s="21">
        <v>1118.8800000000001</v>
      </c>
      <c r="H169" s="17">
        <v>45975</v>
      </c>
      <c r="I169" s="17">
        <v>45976</v>
      </c>
      <c r="J169" s="21">
        <v>120</v>
      </c>
      <c r="K169" s="3" t="s">
        <v>48</v>
      </c>
      <c r="L169" s="19" t="s">
        <v>30</v>
      </c>
      <c r="M169" s="9"/>
      <c r="N169" s="12">
        <f t="shared" si="19"/>
        <v>45990</v>
      </c>
      <c r="O169" s="9">
        <f t="shared" ca="1" si="1"/>
        <v>-25</v>
      </c>
      <c r="P169" s="13" t="str">
        <f t="shared" si="2"/>
        <v>https://secure.booking.com/confirmation.html?bn=5366897765&amp;hc_origin=search&amp;pincode=4902&amp;source=help_center</v>
      </c>
      <c r="Q169" s="9"/>
      <c r="R169" s="9"/>
      <c r="S169" s="9"/>
      <c r="T169" s="9"/>
      <c r="U169" s="9"/>
      <c r="V169" s="9"/>
      <c r="W169" s="9"/>
      <c r="X169" s="9"/>
      <c r="Y169" s="9"/>
      <c r="Z169" s="3"/>
      <c r="AA169" s="3"/>
    </row>
    <row r="170" spans="1:27" ht="15.75" customHeight="1" x14ac:dyDescent="0.25">
      <c r="A170" s="17">
        <v>45975</v>
      </c>
      <c r="B170" s="15" t="s">
        <v>745</v>
      </c>
      <c r="C170" s="19">
        <v>5217579421</v>
      </c>
      <c r="D170" s="19">
        <v>5509</v>
      </c>
      <c r="E170" s="19"/>
      <c r="F170" s="19" t="s">
        <v>330</v>
      </c>
      <c r="G170" s="21">
        <v>1543.44</v>
      </c>
      <c r="H170" s="17">
        <v>45975</v>
      </c>
      <c r="I170" s="17">
        <v>45977</v>
      </c>
      <c r="J170" s="21">
        <v>120</v>
      </c>
      <c r="K170" s="3" t="s">
        <v>48</v>
      </c>
      <c r="L170" s="19" t="s">
        <v>483</v>
      </c>
      <c r="M170" s="9"/>
      <c r="N170" s="12">
        <f t="shared" si="19"/>
        <v>45991</v>
      </c>
      <c r="O170" s="9">
        <f t="shared" ca="1" si="1"/>
        <v>-24</v>
      </c>
      <c r="P170" s="13" t="str">
        <f t="shared" si="2"/>
        <v>https://secure.booking.com/confirmation.html?bn=5217579421&amp;hc_origin=search&amp;pincode=5509&amp;source=help_center</v>
      </c>
      <c r="Q170" s="9"/>
      <c r="R170" s="9"/>
      <c r="S170" s="9"/>
      <c r="T170" s="9"/>
      <c r="U170" s="9"/>
      <c r="V170" s="9"/>
      <c r="W170" s="9"/>
      <c r="X170" s="9"/>
      <c r="Y170" s="9"/>
      <c r="Z170" s="3"/>
      <c r="AA170" s="3"/>
    </row>
    <row r="171" spans="1:27" ht="15.75" customHeight="1" x14ac:dyDescent="0.25">
      <c r="A171" s="17">
        <v>45975</v>
      </c>
      <c r="B171" s="15" t="s">
        <v>746</v>
      </c>
      <c r="C171" s="19">
        <v>5366885810</v>
      </c>
      <c r="D171" s="19">
        <v>6806</v>
      </c>
      <c r="E171" s="19"/>
      <c r="F171" s="19" t="s">
        <v>367</v>
      </c>
      <c r="G171" s="21">
        <v>438.53</v>
      </c>
      <c r="H171" s="17">
        <v>45975</v>
      </c>
      <c r="I171" s="17">
        <v>45976</v>
      </c>
      <c r="J171" s="21">
        <v>120</v>
      </c>
      <c r="K171" s="3" t="s">
        <v>29</v>
      </c>
      <c r="L171" s="19" t="s">
        <v>30</v>
      </c>
      <c r="M171" s="9"/>
      <c r="N171" s="12">
        <f t="shared" si="19"/>
        <v>45990</v>
      </c>
      <c r="O171" s="9">
        <f t="shared" ca="1" si="1"/>
        <v>-25</v>
      </c>
      <c r="P171" s="13" t="str">
        <f t="shared" si="2"/>
        <v>https://secure.booking.com/confirmation.html?bn=5366885810&amp;hc_origin=search&amp;pincode=6806&amp;source=help_center</v>
      </c>
      <c r="Q171" s="9"/>
      <c r="R171" s="9"/>
      <c r="S171" s="9"/>
      <c r="T171" s="9"/>
      <c r="U171" s="9"/>
      <c r="V171" s="9"/>
      <c r="W171" s="9"/>
      <c r="X171" s="9"/>
      <c r="Y171" s="9"/>
      <c r="Z171" s="3"/>
      <c r="AA171" s="3"/>
    </row>
    <row r="172" spans="1:27" ht="15.75" customHeight="1" x14ac:dyDescent="0.25">
      <c r="A172" s="17">
        <v>45975</v>
      </c>
      <c r="B172" s="15" t="s">
        <v>747</v>
      </c>
      <c r="C172" s="19">
        <v>5119059000</v>
      </c>
      <c r="D172" s="19">
        <v>6370</v>
      </c>
      <c r="E172" s="19"/>
      <c r="F172" s="19" t="s">
        <v>335</v>
      </c>
      <c r="G172" s="21">
        <v>1246.0999999999999</v>
      </c>
      <c r="H172" s="17">
        <v>45975</v>
      </c>
      <c r="I172" s="17">
        <v>45979</v>
      </c>
      <c r="J172" s="21">
        <v>120</v>
      </c>
      <c r="K172" s="3" t="s">
        <v>36</v>
      </c>
      <c r="L172" s="19" t="s">
        <v>30</v>
      </c>
      <c r="M172" s="9"/>
      <c r="N172" s="12">
        <f t="shared" si="19"/>
        <v>45993</v>
      </c>
      <c r="O172" s="9">
        <f t="shared" ca="1" si="1"/>
        <v>-22</v>
      </c>
      <c r="P172" s="13" t="str">
        <f t="shared" si="2"/>
        <v>https://secure.booking.com/confirmation.html?bn=5119059000&amp;hc_origin=search&amp;pincode=6370&amp;source=help_center</v>
      </c>
      <c r="Q172" s="9"/>
      <c r="R172" s="9"/>
      <c r="S172" s="9"/>
      <c r="T172" s="9"/>
      <c r="U172" s="9"/>
      <c r="V172" s="9"/>
      <c r="W172" s="9"/>
      <c r="X172" s="9"/>
      <c r="Y172" s="9"/>
      <c r="Z172" s="3"/>
      <c r="AA172" s="3"/>
    </row>
    <row r="173" spans="1:27" ht="15.75" customHeight="1" x14ac:dyDescent="0.25">
      <c r="A173" s="17">
        <v>45982</v>
      </c>
      <c r="B173" s="15" t="s">
        <v>748</v>
      </c>
      <c r="C173" s="19">
        <v>5966052455</v>
      </c>
      <c r="D173" s="19">
        <v>5835</v>
      </c>
      <c r="E173" s="19"/>
      <c r="F173" s="19" t="s">
        <v>98</v>
      </c>
      <c r="G173" s="21">
        <v>1128.3</v>
      </c>
      <c r="H173" s="17">
        <v>45982</v>
      </c>
      <c r="I173" s="17">
        <v>45987</v>
      </c>
      <c r="J173" s="21">
        <v>97.89</v>
      </c>
      <c r="K173" s="3" t="s">
        <v>48</v>
      </c>
      <c r="L173" s="19" t="s">
        <v>30</v>
      </c>
      <c r="M173" s="9"/>
      <c r="N173" s="12">
        <f t="shared" si="19"/>
        <v>46001</v>
      </c>
      <c r="O173" s="9">
        <f t="shared" ca="1" si="1"/>
        <v>-14</v>
      </c>
      <c r="P173" s="13" t="str">
        <f t="shared" si="2"/>
        <v>https://secure.booking.com/confirmation.html?bn=5966052455&amp;hc_origin=search&amp;pincode=5835&amp;source=help_center</v>
      </c>
      <c r="Q173" s="9"/>
      <c r="R173" s="9"/>
      <c r="S173" s="9"/>
      <c r="T173" s="9"/>
      <c r="U173" s="9"/>
      <c r="V173" s="9"/>
      <c r="W173" s="9"/>
      <c r="X173" s="9"/>
      <c r="Y173" s="9"/>
      <c r="Z173" s="3"/>
      <c r="AA173" s="3"/>
    </row>
    <row r="174" spans="1:27" ht="15.75" customHeight="1" x14ac:dyDescent="0.25">
      <c r="A174" s="17">
        <v>45982</v>
      </c>
      <c r="B174" s="15" t="s">
        <v>749</v>
      </c>
      <c r="C174" s="19">
        <v>5358028262</v>
      </c>
      <c r="D174" s="19">
        <v>5623</v>
      </c>
      <c r="E174" s="19"/>
      <c r="F174" s="19" t="s">
        <v>67</v>
      </c>
      <c r="G174" s="21">
        <v>600.6</v>
      </c>
      <c r="H174" s="17">
        <v>45982</v>
      </c>
      <c r="I174" s="17">
        <v>45987</v>
      </c>
      <c r="J174" s="21">
        <v>97.89</v>
      </c>
      <c r="K174" s="3" t="s">
        <v>48</v>
      </c>
      <c r="L174" s="19" t="s">
        <v>483</v>
      </c>
      <c r="M174" s="9"/>
      <c r="N174" s="12">
        <f t="shared" si="19"/>
        <v>46001</v>
      </c>
      <c r="O174" s="9">
        <f t="shared" ca="1" si="1"/>
        <v>-14</v>
      </c>
      <c r="P174" s="13" t="str">
        <f t="shared" si="2"/>
        <v>https://secure.booking.com/confirmation.html?bn=5358028262&amp;hc_origin=search&amp;pincode=5623&amp;source=help_center</v>
      </c>
      <c r="Q174" s="9"/>
      <c r="R174" s="9"/>
      <c r="S174" s="9"/>
      <c r="T174" s="9"/>
      <c r="U174" s="9"/>
      <c r="V174" s="9"/>
      <c r="W174" s="9"/>
      <c r="X174" s="9"/>
      <c r="Y174" s="9"/>
      <c r="Z174" s="3"/>
      <c r="AA174" s="3"/>
    </row>
    <row r="175" spans="1:27" ht="15.75" customHeight="1" x14ac:dyDescent="0.25">
      <c r="A175" s="17">
        <v>45982</v>
      </c>
      <c r="B175" s="15" t="s">
        <v>750</v>
      </c>
      <c r="C175" s="19">
        <v>5605026877</v>
      </c>
      <c r="D175" s="19">
        <v>3745</v>
      </c>
      <c r="E175" s="19"/>
      <c r="F175" s="19" t="s">
        <v>352</v>
      </c>
      <c r="G175" s="21">
        <v>1016.8</v>
      </c>
      <c r="H175" s="17">
        <v>45982</v>
      </c>
      <c r="I175" s="17">
        <v>45988</v>
      </c>
      <c r="J175" s="21">
        <v>88.22</v>
      </c>
      <c r="K175" s="3" t="s">
        <v>48</v>
      </c>
      <c r="L175" s="19" t="s">
        <v>483</v>
      </c>
      <c r="M175" s="9"/>
      <c r="N175" s="12">
        <f t="shared" si="19"/>
        <v>46002</v>
      </c>
      <c r="O175" s="9">
        <f t="shared" ca="1" si="1"/>
        <v>-13</v>
      </c>
      <c r="P175" s="13" t="str">
        <f t="shared" si="2"/>
        <v>https://secure.booking.com/confirmation.html?bn=5605026877&amp;hc_origin=search&amp;pincode=3745&amp;source=help_center</v>
      </c>
      <c r="Q175" s="9"/>
      <c r="R175" s="9"/>
      <c r="S175" s="9"/>
      <c r="T175" s="9"/>
      <c r="U175" s="9"/>
      <c r="V175" s="9"/>
      <c r="W175" s="9"/>
      <c r="X175" s="9"/>
      <c r="Y175" s="9"/>
      <c r="Z175" s="3"/>
      <c r="AA175" s="3"/>
    </row>
    <row r="176" spans="1:27" ht="15.75" customHeight="1" x14ac:dyDescent="0.25">
      <c r="A176" s="17">
        <v>45948</v>
      </c>
      <c r="B176" s="15" t="s">
        <v>751</v>
      </c>
      <c r="C176" s="19">
        <v>6454099185</v>
      </c>
      <c r="D176" s="19">
        <v>8830</v>
      </c>
      <c r="E176" s="19"/>
      <c r="F176" s="19" t="s">
        <v>752</v>
      </c>
      <c r="G176" s="21">
        <v>11243.68</v>
      </c>
      <c r="H176" s="17">
        <v>45991</v>
      </c>
      <c r="I176" s="17">
        <v>45992</v>
      </c>
      <c r="J176" s="21">
        <v>232</v>
      </c>
      <c r="K176" s="3" t="s">
        <v>48</v>
      </c>
      <c r="L176" s="19" t="s">
        <v>483</v>
      </c>
      <c r="M176" s="9"/>
      <c r="N176" s="12">
        <f t="shared" ref="N176:N178" si="20">I176+65</f>
        <v>46057</v>
      </c>
      <c r="O176" s="9">
        <f t="shared" ca="1" si="1"/>
        <v>42</v>
      </c>
      <c r="P176" s="13" t="str">
        <f t="shared" si="2"/>
        <v>https://secure.booking.com/confirmation.html?bn=6454099185&amp;hc_origin=search&amp;pincode=8830&amp;source=help_center</v>
      </c>
      <c r="Q176" s="9"/>
      <c r="R176" s="9"/>
      <c r="S176" s="9"/>
      <c r="T176" s="9"/>
      <c r="U176" s="9"/>
      <c r="V176" s="9"/>
      <c r="W176" s="9"/>
      <c r="X176" s="9"/>
      <c r="Y176" s="9"/>
      <c r="Z176" s="3"/>
      <c r="AA176" s="3"/>
    </row>
    <row r="177" spans="1:27" ht="15.75" customHeight="1" x14ac:dyDescent="0.25">
      <c r="A177" s="17">
        <v>45948</v>
      </c>
      <c r="B177" s="15" t="s">
        <v>753</v>
      </c>
      <c r="C177" s="19">
        <v>6017991905</v>
      </c>
      <c r="D177" s="19">
        <v>2560</v>
      </c>
      <c r="E177" s="19"/>
      <c r="F177" s="19" t="s">
        <v>754</v>
      </c>
      <c r="G177" s="21">
        <v>10408.280000000001</v>
      </c>
      <c r="H177" s="17">
        <v>45991</v>
      </c>
      <c r="I177" s="17">
        <v>45992</v>
      </c>
      <c r="J177" s="21">
        <v>120</v>
      </c>
      <c r="K177" s="3" t="s">
        <v>48</v>
      </c>
      <c r="L177" s="19" t="s">
        <v>483</v>
      </c>
      <c r="M177" s="9"/>
      <c r="N177" s="12">
        <f t="shared" si="20"/>
        <v>46057</v>
      </c>
      <c r="O177" s="9">
        <f t="shared" ca="1" si="1"/>
        <v>42</v>
      </c>
      <c r="P177" s="13" t="str">
        <f t="shared" si="2"/>
        <v>https://secure.booking.com/confirmation.html?bn=6017991905&amp;hc_origin=search&amp;pincode=2560&amp;source=help_center</v>
      </c>
      <c r="Q177" s="9"/>
      <c r="R177" s="9"/>
      <c r="S177" s="9"/>
      <c r="T177" s="9"/>
      <c r="U177" s="9"/>
      <c r="V177" s="9"/>
      <c r="W177" s="9"/>
      <c r="X177" s="9"/>
      <c r="Y177" s="9"/>
      <c r="Z177" s="3"/>
      <c r="AA177" s="3"/>
    </row>
    <row r="178" spans="1:27" ht="15.75" customHeight="1" x14ac:dyDescent="0.25">
      <c r="A178" s="17">
        <v>45948</v>
      </c>
      <c r="B178" s="15" t="s">
        <v>755</v>
      </c>
      <c r="C178" s="19">
        <v>6454087947</v>
      </c>
      <c r="D178" s="19">
        <v>1388</v>
      </c>
      <c r="E178" s="19"/>
      <c r="F178" s="19" t="s">
        <v>756</v>
      </c>
      <c r="G178" s="21">
        <v>11762.31</v>
      </c>
      <c r="H178" s="17">
        <v>45991</v>
      </c>
      <c r="I178" s="17">
        <v>45992</v>
      </c>
      <c r="J178" s="21">
        <v>120</v>
      </c>
      <c r="K178" s="3" t="s">
        <v>48</v>
      </c>
      <c r="L178" s="19" t="s">
        <v>483</v>
      </c>
      <c r="M178" s="9"/>
      <c r="N178" s="12">
        <f t="shared" si="20"/>
        <v>46057</v>
      </c>
      <c r="O178" s="9">
        <f t="shared" ca="1" si="1"/>
        <v>42</v>
      </c>
      <c r="P178" s="13" t="str">
        <f t="shared" si="2"/>
        <v>https://secure.booking.com/confirmation.html?bn=6454087947&amp;hc_origin=search&amp;pincode=1388&amp;source=help_center</v>
      </c>
      <c r="Q178" s="9"/>
      <c r="R178" s="9"/>
      <c r="S178" s="9"/>
      <c r="T178" s="9"/>
      <c r="U178" s="9"/>
      <c r="V178" s="9"/>
      <c r="W178" s="9"/>
      <c r="X178" s="9"/>
      <c r="Y178" s="9"/>
      <c r="Z178" s="3"/>
      <c r="AA178" s="3"/>
    </row>
    <row r="179" spans="1:27" ht="15.75" customHeight="1" x14ac:dyDescent="0.25">
      <c r="A179" s="17">
        <v>45993</v>
      </c>
      <c r="B179" s="15" t="s">
        <v>745</v>
      </c>
      <c r="C179" s="18">
        <v>6728775669</v>
      </c>
      <c r="D179" s="18">
        <v>8274</v>
      </c>
      <c r="E179" s="19"/>
      <c r="F179" s="19" t="s">
        <v>330</v>
      </c>
      <c r="G179" s="20">
        <v>1466.74</v>
      </c>
      <c r="H179" s="17">
        <v>45993</v>
      </c>
      <c r="I179" s="17">
        <v>45995</v>
      </c>
      <c r="J179" s="21">
        <v>120</v>
      </c>
      <c r="K179" s="3" t="s">
        <v>48</v>
      </c>
      <c r="L179" s="19" t="s">
        <v>483</v>
      </c>
      <c r="M179" s="9"/>
      <c r="N179" s="12">
        <f t="shared" ref="N179:N189" si="21">I179+14</f>
        <v>46009</v>
      </c>
      <c r="O179" s="9">
        <f t="shared" ca="1" si="1"/>
        <v>-6</v>
      </c>
      <c r="P179" s="13" t="str">
        <f t="shared" si="2"/>
        <v>https://secure.booking.com/confirmation.html?bn=6728775669&amp;hc_origin=search&amp;pincode=8274&amp;source=help_center</v>
      </c>
      <c r="Q179" s="9"/>
      <c r="R179" s="9"/>
      <c r="S179" s="9"/>
      <c r="T179" s="9"/>
      <c r="U179" s="9"/>
      <c r="V179" s="9"/>
      <c r="W179" s="9"/>
      <c r="X179" s="9"/>
      <c r="Y179" s="9"/>
      <c r="Z179" s="3"/>
      <c r="AA179" s="3"/>
    </row>
    <row r="180" spans="1:27" ht="15.75" customHeight="1" x14ac:dyDescent="0.25">
      <c r="A180" s="17">
        <v>45993</v>
      </c>
      <c r="B180" s="15" t="s">
        <v>757</v>
      </c>
      <c r="C180" s="18">
        <v>6578000143</v>
      </c>
      <c r="D180" s="18">
        <v>3212</v>
      </c>
      <c r="E180" s="19"/>
      <c r="F180" s="19" t="s">
        <v>461</v>
      </c>
      <c r="G180" s="20">
        <v>1219.8900000000001</v>
      </c>
      <c r="H180" s="17">
        <v>45993</v>
      </c>
      <c r="I180" s="17">
        <v>45995</v>
      </c>
      <c r="J180" s="21">
        <v>120</v>
      </c>
      <c r="K180" s="3" t="s">
        <v>48</v>
      </c>
      <c r="L180" s="19" t="s">
        <v>30</v>
      </c>
      <c r="M180" s="9"/>
      <c r="N180" s="12">
        <f t="shared" si="21"/>
        <v>46009</v>
      </c>
      <c r="O180" s="9">
        <f t="shared" ca="1" si="1"/>
        <v>-6</v>
      </c>
      <c r="P180" s="13" t="str">
        <f t="shared" si="2"/>
        <v>https://secure.booking.com/confirmation.html?bn=6578000143&amp;hc_origin=search&amp;pincode=3212&amp;source=help_center</v>
      </c>
      <c r="Q180" s="9"/>
      <c r="R180" s="9"/>
      <c r="S180" s="9"/>
      <c r="T180" s="9"/>
      <c r="U180" s="9"/>
      <c r="V180" s="9"/>
      <c r="W180" s="9"/>
      <c r="X180" s="9"/>
      <c r="Y180" s="9"/>
      <c r="Z180" s="3"/>
      <c r="AA180" s="3"/>
    </row>
    <row r="181" spans="1:27" ht="15.75" customHeight="1" x14ac:dyDescent="0.25">
      <c r="A181" s="17">
        <v>45993</v>
      </c>
      <c r="B181" s="15" t="s">
        <v>758</v>
      </c>
      <c r="C181" s="18">
        <v>6728715517</v>
      </c>
      <c r="D181" s="18">
        <v>6055</v>
      </c>
      <c r="E181" s="19"/>
      <c r="F181" s="19" t="s">
        <v>64</v>
      </c>
      <c r="G181" s="20">
        <v>1191.5999999999999</v>
      </c>
      <c r="H181" s="17">
        <v>45993</v>
      </c>
      <c r="I181" s="17">
        <v>45998</v>
      </c>
      <c r="J181" s="21">
        <v>120</v>
      </c>
      <c r="K181" s="3" t="s">
        <v>48</v>
      </c>
      <c r="L181" s="19" t="s">
        <v>30</v>
      </c>
      <c r="M181" s="9"/>
      <c r="N181" s="12">
        <f t="shared" si="21"/>
        <v>46012</v>
      </c>
      <c r="O181" s="9">
        <f t="shared" ca="1" si="1"/>
        <v>-3</v>
      </c>
      <c r="P181" s="13" t="str">
        <f t="shared" si="2"/>
        <v>https://secure.booking.com/confirmation.html?bn=6728715517&amp;hc_origin=search&amp;pincode=6055&amp;source=help_center</v>
      </c>
      <c r="Q181" s="9"/>
      <c r="R181" s="9"/>
      <c r="S181" s="9"/>
      <c r="T181" s="9"/>
      <c r="U181" s="9"/>
      <c r="V181" s="9"/>
      <c r="W181" s="9"/>
      <c r="X181" s="9"/>
      <c r="Y181" s="9"/>
      <c r="Z181" s="3"/>
      <c r="AA181" s="3"/>
    </row>
    <row r="182" spans="1:27" ht="15.75" customHeight="1" x14ac:dyDescent="0.25">
      <c r="A182" s="17">
        <v>45994</v>
      </c>
      <c r="B182" s="15" t="s">
        <v>759</v>
      </c>
      <c r="C182" s="18">
        <v>5500979688</v>
      </c>
      <c r="D182" s="18">
        <v>7404</v>
      </c>
      <c r="E182" s="19"/>
      <c r="F182" s="19" t="s">
        <v>330</v>
      </c>
      <c r="G182" s="20">
        <v>1472.64</v>
      </c>
      <c r="H182" s="17">
        <v>45994</v>
      </c>
      <c r="I182" s="17">
        <v>45995</v>
      </c>
      <c r="J182" s="21">
        <v>120</v>
      </c>
      <c r="K182" s="3" t="s">
        <v>48</v>
      </c>
      <c r="L182" s="19" t="s">
        <v>30</v>
      </c>
      <c r="M182" s="9"/>
      <c r="N182" s="12">
        <f t="shared" si="21"/>
        <v>46009</v>
      </c>
      <c r="O182" s="9">
        <f t="shared" ca="1" si="1"/>
        <v>-6</v>
      </c>
      <c r="P182" s="13" t="str">
        <f t="shared" si="2"/>
        <v>https://secure.booking.com/confirmation.html?bn=5500979688&amp;hc_origin=search&amp;pincode=7404&amp;source=help_center</v>
      </c>
      <c r="Q182" s="9"/>
      <c r="R182" s="9"/>
      <c r="S182" s="9"/>
      <c r="T182" s="9"/>
      <c r="U182" s="9"/>
      <c r="V182" s="9"/>
      <c r="W182" s="9"/>
      <c r="X182" s="9"/>
      <c r="Y182" s="9"/>
      <c r="Z182" s="3"/>
      <c r="AA182" s="3"/>
    </row>
    <row r="183" spans="1:27" ht="15.75" customHeight="1" x14ac:dyDescent="0.25">
      <c r="A183" s="17">
        <v>45994</v>
      </c>
      <c r="B183" s="15" t="s">
        <v>739</v>
      </c>
      <c r="C183" s="18">
        <v>5750806013</v>
      </c>
      <c r="D183" s="18">
        <v>1919</v>
      </c>
      <c r="E183" s="19"/>
      <c r="F183" s="19" t="s">
        <v>58</v>
      </c>
      <c r="G183" s="20">
        <v>1462.92</v>
      </c>
      <c r="H183" s="17">
        <v>45994</v>
      </c>
      <c r="I183" s="17">
        <v>45995</v>
      </c>
      <c r="J183" s="21">
        <v>120</v>
      </c>
      <c r="K183" s="3" t="s">
        <v>48</v>
      </c>
      <c r="L183" s="19" t="s">
        <v>30</v>
      </c>
      <c r="M183" s="9"/>
      <c r="N183" s="12">
        <f t="shared" si="21"/>
        <v>46009</v>
      </c>
      <c r="O183" s="9">
        <f t="shared" ca="1" si="1"/>
        <v>-6</v>
      </c>
      <c r="P183" s="13" t="str">
        <f t="shared" si="2"/>
        <v>https://secure.booking.com/confirmation.html?bn=5750806013&amp;hc_origin=search&amp;pincode=1919&amp;source=help_center</v>
      </c>
      <c r="Q183" s="9"/>
      <c r="R183" s="9"/>
      <c r="S183" s="9"/>
      <c r="T183" s="9"/>
      <c r="U183" s="9"/>
      <c r="V183" s="9"/>
      <c r="W183" s="9"/>
      <c r="X183" s="9"/>
      <c r="Y183" s="9"/>
      <c r="Z183" s="3"/>
      <c r="AA183" s="3"/>
    </row>
    <row r="184" spans="1:27" ht="15.75" customHeight="1" x14ac:dyDescent="0.25">
      <c r="A184" s="17">
        <v>45994</v>
      </c>
      <c r="B184" s="15" t="s">
        <v>746</v>
      </c>
      <c r="C184" s="18">
        <v>5280918095</v>
      </c>
      <c r="D184" s="18">
        <v>6126</v>
      </c>
      <c r="E184" s="19"/>
      <c r="F184" s="19" t="s">
        <v>367</v>
      </c>
      <c r="G184" s="20">
        <v>500.2</v>
      </c>
      <c r="H184" s="17">
        <v>45994</v>
      </c>
      <c r="I184" s="17">
        <v>45996</v>
      </c>
      <c r="J184" s="21">
        <v>120</v>
      </c>
      <c r="K184" s="3" t="s">
        <v>48</v>
      </c>
      <c r="L184" s="19" t="s">
        <v>30</v>
      </c>
      <c r="M184" s="9"/>
      <c r="N184" s="12">
        <f t="shared" si="21"/>
        <v>46010</v>
      </c>
      <c r="O184" s="9">
        <f t="shared" ca="1" si="1"/>
        <v>-5</v>
      </c>
      <c r="P184" s="13" t="str">
        <f t="shared" si="2"/>
        <v>https://secure.booking.com/confirmation.html?bn=5280918095&amp;hc_origin=search&amp;pincode=6126&amp;source=help_center</v>
      </c>
      <c r="Q184" s="9"/>
      <c r="R184" s="9"/>
      <c r="S184" s="9"/>
      <c r="T184" s="9"/>
      <c r="U184" s="9"/>
      <c r="V184" s="9"/>
      <c r="W184" s="9"/>
      <c r="X184" s="9"/>
      <c r="Y184" s="9"/>
      <c r="Z184" s="3"/>
      <c r="AA184" s="3"/>
    </row>
    <row r="185" spans="1:27" ht="15.75" customHeight="1" x14ac:dyDescent="0.25">
      <c r="A185" s="17">
        <v>45996</v>
      </c>
      <c r="B185" s="15" t="s">
        <v>760</v>
      </c>
      <c r="C185" s="18">
        <v>6775667699</v>
      </c>
      <c r="D185" s="18">
        <v>4118</v>
      </c>
      <c r="E185" s="19"/>
      <c r="F185" s="19" t="s">
        <v>74</v>
      </c>
      <c r="G185" s="20">
        <v>1275.53</v>
      </c>
      <c r="H185" s="17">
        <v>45996</v>
      </c>
      <c r="I185" s="17">
        <v>45999</v>
      </c>
      <c r="J185" s="21">
        <v>120</v>
      </c>
      <c r="K185" s="3" t="s">
        <v>48</v>
      </c>
      <c r="L185" s="19" t="s">
        <v>483</v>
      </c>
      <c r="M185" s="9"/>
      <c r="N185" s="12">
        <f t="shared" si="21"/>
        <v>46013</v>
      </c>
      <c r="O185" s="9">
        <f t="shared" ca="1" si="1"/>
        <v>-2</v>
      </c>
      <c r="P185" s="13" t="str">
        <f t="shared" si="2"/>
        <v>https://secure.booking.com/confirmation.html?bn=6775667699&amp;hc_origin=search&amp;pincode=4118&amp;source=help_center</v>
      </c>
      <c r="Q185" s="9"/>
      <c r="R185" s="9"/>
      <c r="S185" s="9"/>
      <c r="T185" s="9"/>
      <c r="U185" s="9"/>
      <c r="V185" s="9"/>
      <c r="W185" s="9"/>
      <c r="X185" s="9"/>
      <c r="Y185" s="9"/>
      <c r="Z185" s="3"/>
      <c r="AA185" s="3"/>
    </row>
    <row r="186" spans="1:27" ht="15.75" customHeight="1" x14ac:dyDescent="0.25">
      <c r="A186" s="17">
        <v>45996</v>
      </c>
      <c r="B186" s="15" t="s">
        <v>761</v>
      </c>
      <c r="C186" s="18">
        <v>6370892576</v>
      </c>
      <c r="D186" s="18">
        <v>9080</v>
      </c>
      <c r="E186" s="19"/>
      <c r="F186" s="19" t="s">
        <v>67</v>
      </c>
      <c r="G186" s="20">
        <v>1139.5999999999999</v>
      </c>
      <c r="H186" s="17">
        <v>45996</v>
      </c>
      <c r="I186" s="17">
        <v>46000</v>
      </c>
      <c r="J186" s="21">
        <v>120</v>
      </c>
      <c r="K186" s="3" t="s">
        <v>48</v>
      </c>
      <c r="L186" s="19" t="s">
        <v>483</v>
      </c>
      <c r="M186" s="9"/>
      <c r="N186" s="12">
        <f t="shared" si="21"/>
        <v>46014</v>
      </c>
      <c r="O186" s="9">
        <f t="shared" ca="1" si="1"/>
        <v>-1</v>
      </c>
      <c r="P186" s="13" t="str">
        <f t="shared" si="2"/>
        <v>https://secure.booking.com/confirmation.html?bn=6370892576&amp;hc_origin=search&amp;pincode=9080&amp;source=help_center</v>
      </c>
      <c r="Q186" s="9"/>
      <c r="R186" s="9"/>
      <c r="S186" s="9"/>
      <c r="T186" s="9"/>
      <c r="U186" s="9"/>
      <c r="V186" s="9"/>
      <c r="W186" s="9"/>
      <c r="X186" s="9"/>
      <c r="Y186" s="9"/>
      <c r="Z186" s="3"/>
      <c r="AA186" s="3"/>
    </row>
    <row r="187" spans="1:27" ht="15.75" customHeight="1" x14ac:dyDescent="0.25">
      <c r="A187" s="17">
        <v>45996</v>
      </c>
      <c r="B187" s="15" t="s">
        <v>762</v>
      </c>
      <c r="C187" s="18">
        <v>5040888340</v>
      </c>
      <c r="D187" s="18">
        <v>6789</v>
      </c>
      <c r="E187" s="19"/>
      <c r="F187" s="19" t="s">
        <v>86</v>
      </c>
      <c r="G187" s="20">
        <v>1016.6</v>
      </c>
      <c r="H187" s="17">
        <v>45996</v>
      </c>
      <c r="I187" s="17">
        <v>45999</v>
      </c>
      <c r="J187" s="21">
        <v>120</v>
      </c>
      <c r="K187" s="3" t="s">
        <v>48</v>
      </c>
      <c r="L187" s="19" t="s">
        <v>483</v>
      </c>
      <c r="M187" s="9"/>
      <c r="N187" s="12">
        <f t="shared" si="21"/>
        <v>46013</v>
      </c>
      <c r="O187" s="9">
        <f t="shared" ca="1" si="1"/>
        <v>-2</v>
      </c>
      <c r="P187" s="13" t="str">
        <f t="shared" si="2"/>
        <v>https://secure.booking.com/confirmation.html?bn=5040888340&amp;hc_origin=search&amp;pincode=6789&amp;source=help_center</v>
      </c>
      <c r="Q187" s="9"/>
      <c r="R187" s="9"/>
      <c r="S187" s="9"/>
      <c r="T187" s="9"/>
      <c r="U187" s="9"/>
      <c r="V187" s="9"/>
      <c r="W187" s="9"/>
      <c r="X187" s="9"/>
      <c r="Y187" s="9"/>
      <c r="Z187" s="3"/>
      <c r="AA187" s="3"/>
    </row>
    <row r="188" spans="1:27" ht="15.75" customHeight="1" x14ac:dyDescent="0.25">
      <c r="A188" s="17">
        <v>45996</v>
      </c>
      <c r="B188" s="15" t="s">
        <v>763</v>
      </c>
      <c r="C188" s="18">
        <v>5328050524</v>
      </c>
      <c r="D188" s="18">
        <v>4277</v>
      </c>
      <c r="E188" s="19"/>
      <c r="F188" s="19" t="s">
        <v>764</v>
      </c>
      <c r="G188" s="20">
        <v>1445.82</v>
      </c>
      <c r="H188" s="17">
        <v>45996</v>
      </c>
      <c r="I188" s="17">
        <v>45999</v>
      </c>
      <c r="J188" s="21">
        <v>120</v>
      </c>
      <c r="K188" s="3" t="s">
        <v>48</v>
      </c>
      <c r="L188" s="19" t="s">
        <v>30</v>
      </c>
      <c r="M188" s="9"/>
      <c r="N188" s="12">
        <f t="shared" si="21"/>
        <v>46013</v>
      </c>
      <c r="O188" s="9">
        <f t="shared" ca="1" si="1"/>
        <v>-2</v>
      </c>
      <c r="P188" s="13" t="str">
        <f t="shared" si="2"/>
        <v>https://secure.booking.com/confirmation.html?bn=5328050524&amp;hc_origin=search&amp;pincode=4277&amp;source=help_center</v>
      </c>
      <c r="Q188" s="9"/>
      <c r="R188" s="9"/>
      <c r="S188" s="9"/>
      <c r="T188" s="9"/>
      <c r="U188" s="9"/>
      <c r="V188" s="9"/>
      <c r="W188" s="9"/>
      <c r="X188" s="9"/>
      <c r="Y188" s="9"/>
      <c r="Z188" s="3"/>
      <c r="AA188" s="3"/>
    </row>
    <row r="189" spans="1:27" ht="15.75" customHeight="1" x14ac:dyDescent="0.25">
      <c r="A189" s="17">
        <v>45996</v>
      </c>
      <c r="B189" s="15" t="s">
        <v>765</v>
      </c>
      <c r="C189" s="18">
        <v>5040833649</v>
      </c>
      <c r="D189" s="18">
        <v>143</v>
      </c>
      <c r="E189" s="19"/>
      <c r="F189" s="19" t="s">
        <v>550</v>
      </c>
      <c r="G189" s="20">
        <v>420.75</v>
      </c>
      <c r="H189" s="17">
        <v>46044</v>
      </c>
      <c r="I189" s="17">
        <v>46045</v>
      </c>
      <c r="J189" s="21">
        <v>120</v>
      </c>
      <c r="K189" s="3" t="s">
        <v>48</v>
      </c>
      <c r="L189" s="19" t="s">
        <v>30</v>
      </c>
      <c r="M189" s="9"/>
      <c r="N189" s="12">
        <f t="shared" si="21"/>
        <v>46059</v>
      </c>
      <c r="O189" s="9">
        <f t="shared" ca="1" si="1"/>
        <v>44</v>
      </c>
      <c r="P189" s="13" t="str">
        <f t="shared" si="2"/>
        <v>https://secure.booking.com/confirmation.html?bn=5040833649&amp;hc_origin=search&amp;pincode=143&amp;source=help_center</v>
      </c>
      <c r="Q189" s="9"/>
      <c r="R189" s="9"/>
      <c r="S189" s="9"/>
      <c r="T189" s="9"/>
      <c r="U189" s="9"/>
      <c r="V189" s="9"/>
      <c r="W189" s="9"/>
      <c r="X189" s="9"/>
      <c r="Y189" s="9"/>
      <c r="Z189" s="3"/>
      <c r="AA189" s="3"/>
    </row>
    <row r="190" spans="1:27" ht="15.75" hidden="1" customHeight="1" x14ac:dyDescent="0.25">
      <c r="A190" s="22" t="s">
        <v>766</v>
      </c>
      <c r="B190" s="22" t="s">
        <v>767</v>
      </c>
      <c r="C190" s="22" t="s">
        <v>768</v>
      </c>
      <c r="D190" s="22" t="s">
        <v>4</v>
      </c>
      <c r="E190" s="22" t="s">
        <v>5</v>
      </c>
      <c r="F190" s="22" t="s">
        <v>769</v>
      </c>
      <c r="G190" s="23" t="s">
        <v>770</v>
      </c>
      <c r="H190" s="22" t="s">
        <v>771</v>
      </c>
      <c r="I190" s="22" t="s">
        <v>772</v>
      </c>
      <c r="J190" s="21">
        <v>120</v>
      </c>
      <c r="K190" s="22" t="s">
        <v>773</v>
      </c>
      <c r="L190" s="22" t="s">
        <v>774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3"/>
      <c r="AA190" s="3"/>
    </row>
    <row r="191" spans="1:27" ht="15.75" customHeight="1" x14ac:dyDescent="0.25">
      <c r="A191" s="17">
        <v>45999</v>
      </c>
      <c r="B191" s="15" t="s">
        <v>775</v>
      </c>
      <c r="C191" s="19">
        <v>6409887789</v>
      </c>
      <c r="D191" s="19">
        <v>6512</v>
      </c>
      <c r="E191" s="19"/>
      <c r="F191" s="19" t="s">
        <v>776</v>
      </c>
      <c r="G191" s="21">
        <v>1329.15</v>
      </c>
      <c r="H191" s="17">
        <v>45999</v>
      </c>
      <c r="I191" s="17">
        <v>46002</v>
      </c>
      <c r="J191" s="21">
        <v>120</v>
      </c>
      <c r="K191" s="3" t="s">
        <v>48</v>
      </c>
      <c r="L191" s="19" t="s">
        <v>483</v>
      </c>
      <c r="M191" s="9"/>
      <c r="N191" s="12">
        <f t="shared" ref="N191:N195" si="22">I191+14</f>
        <v>46016</v>
      </c>
      <c r="O191" s="9">
        <f t="shared" ref="O191:O195" ca="1" si="23">N191 - TODAY()</f>
        <v>1</v>
      </c>
      <c r="P191" s="13" t="str">
        <f t="shared" ref="P191:P195" si="24">CONCATENATE("https://secure.booking.com/confirmation.html?bn=",C191,"&amp;hc_origin=search&amp;pincode=",D191,"&amp;source=help_center")</f>
        <v>https://secure.booking.com/confirmation.html?bn=6409887789&amp;hc_origin=search&amp;pincode=6512&amp;source=help_center</v>
      </c>
      <c r="Q191" s="9"/>
      <c r="R191" s="9"/>
      <c r="S191" s="9"/>
      <c r="T191" s="9"/>
      <c r="U191" s="9"/>
      <c r="V191" s="9"/>
      <c r="W191" s="9"/>
      <c r="X191" s="9"/>
      <c r="Y191" s="9"/>
      <c r="Z191" s="3"/>
      <c r="AA191" s="3"/>
    </row>
    <row r="192" spans="1:27" ht="15.75" customHeight="1" x14ac:dyDescent="0.25">
      <c r="A192" s="17">
        <v>45999</v>
      </c>
      <c r="B192" s="15" t="s">
        <v>777</v>
      </c>
      <c r="C192" s="19">
        <v>5907575735</v>
      </c>
      <c r="D192" s="19">
        <v>415</v>
      </c>
      <c r="E192" s="19"/>
      <c r="F192" s="19" t="s">
        <v>778</v>
      </c>
      <c r="G192" s="21">
        <v>1225.5999999999999</v>
      </c>
      <c r="H192" s="17">
        <v>45999</v>
      </c>
      <c r="I192" s="17">
        <v>46003</v>
      </c>
      <c r="J192" s="21">
        <v>120</v>
      </c>
      <c r="K192" s="3" t="s">
        <v>48</v>
      </c>
      <c r="L192" s="19" t="s">
        <v>483</v>
      </c>
      <c r="M192" s="9"/>
      <c r="N192" s="12">
        <f t="shared" si="22"/>
        <v>46017</v>
      </c>
      <c r="O192" s="9">
        <f t="shared" ca="1" si="23"/>
        <v>2</v>
      </c>
      <c r="P192" s="13" t="str">
        <f t="shared" si="24"/>
        <v>https://secure.booking.com/confirmation.html?bn=5907575735&amp;hc_origin=search&amp;pincode=415&amp;source=help_center</v>
      </c>
      <c r="Q192" s="9"/>
      <c r="R192" s="9"/>
      <c r="S192" s="9"/>
      <c r="T192" s="9"/>
      <c r="U192" s="9"/>
      <c r="V192" s="9"/>
      <c r="W192" s="9"/>
      <c r="X192" s="9"/>
      <c r="Y192" s="9"/>
      <c r="Z192" s="3"/>
      <c r="AA192" s="3"/>
    </row>
    <row r="193" spans="1:27" ht="15.75" customHeight="1" x14ac:dyDescent="0.25">
      <c r="A193" s="17">
        <v>45999</v>
      </c>
      <c r="B193" s="15" t="s">
        <v>779</v>
      </c>
      <c r="C193" s="19">
        <v>5577387743</v>
      </c>
      <c r="D193" s="19">
        <v>9864</v>
      </c>
      <c r="E193" s="19"/>
      <c r="F193" s="19" t="s">
        <v>780</v>
      </c>
      <c r="G193" s="21">
        <v>1327.84</v>
      </c>
      <c r="H193" s="17">
        <v>45999</v>
      </c>
      <c r="I193" s="17">
        <v>46004</v>
      </c>
      <c r="J193" s="21">
        <v>120</v>
      </c>
      <c r="K193" s="3" t="s">
        <v>48</v>
      </c>
      <c r="L193" s="19" t="s">
        <v>483</v>
      </c>
      <c r="M193" s="9"/>
      <c r="N193" s="12">
        <f t="shared" si="22"/>
        <v>46018</v>
      </c>
      <c r="O193" s="9">
        <f t="shared" ca="1" si="23"/>
        <v>3</v>
      </c>
      <c r="P193" s="13" t="str">
        <f t="shared" si="24"/>
        <v>https://secure.booking.com/confirmation.html?bn=5577387743&amp;hc_origin=search&amp;pincode=9864&amp;source=help_center</v>
      </c>
      <c r="Q193" s="9"/>
      <c r="R193" s="9"/>
      <c r="S193" s="9"/>
      <c r="T193" s="9"/>
      <c r="U193" s="9"/>
      <c r="V193" s="9"/>
      <c r="W193" s="9"/>
      <c r="X193" s="9"/>
      <c r="Y193" s="9"/>
      <c r="Z193" s="3"/>
      <c r="AA193" s="3"/>
    </row>
    <row r="194" spans="1:27" ht="15.75" customHeight="1" x14ac:dyDescent="0.25">
      <c r="A194" s="17">
        <v>45999</v>
      </c>
      <c r="B194" s="15" t="s">
        <v>781</v>
      </c>
      <c r="C194" s="19">
        <v>5902718855</v>
      </c>
      <c r="D194" s="19">
        <v>16</v>
      </c>
      <c r="E194" s="19"/>
      <c r="F194" s="19" t="s">
        <v>782</v>
      </c>
      <c r="G194" s="21">
        <v>1110.9000000000001</v>
      </c>
      <c r="H194" s="17">
        <v>45999</v>
      </c>
      <c r="I194" s="17">
        <v>46001</v>
      </c>
      <c r="J194" s="21">
        <v>120</v>
      </c>
      <c r="K194" s="3" t="s">
        <v>48</v>
      </c>
      <c r="L194" s="19" t="s">
        <v>483</v>
      </c>
      <c r="M194" s="9"/>
      <c r="N194" s="12">
        <f t="shared" si="22"/>
        <v>46015</v>
      </c>
      <c r="O194" s="9">
        <f t="shared" ca="1" si="23"/>
        <v>0</v>
      </c>
      <c r="P194" s="13" t="str">
        <f t="shared" si="24"/>
        <v>https://secure.booking.com/confirmation.html?bn=5902718855&amp;hc_origin=search&amp;pincode=16&amp;source=help_center</v>
      </c>
      <c r="Q194" s="9"/>
      <c r="R194" s="9"/>
      <c r="S194" s="9"/>
      <c r="T194" s="9"/>
      <c r="U194" s="9"/>
      <c r="V194" s="9"/>
      <c r="W194" s="9"/>
      <c r="X194" s="9"/>
      <c r="Y194" s="9"/>
      <c r="Z194" s="3"/>
      <c r="AA194" s="3"/>
    </row>
    <row r="195" spans="1:27" ht="15.75" customHeight="1" x14ac:dyDescent="0.25">
      <c r="A195" s="17">
        <v>45999</v>
      </c>
      <c r="B195" s="15" t="s">
        <v>783</v>
      </c>
      <c r="C195" s="19">
        <v>6434312635</v>
      </c>
      <c r="D195" s="19">
        <v>1631</v>
      </c>
      <c r="E195" s="19"/>
      <c r="F195" s="19" t="s">
        <v>784</v>
      </c>
      <c r="G195" s="21">
        <v>1225.44</v>
      </c>
      <c r="H195" s="17">
        <v>45999</v>
      </c>
      <c r="I195" s="17">
        <v>46004</v>
      </c>
      <c r="J195" s="21">
        <v>120</v>
      </c>
      <c r="K195" s="3" t="s">
        <v>48</v>
      </c>
      <c r="L195" s="19" t="s">
        <v>483</v>
      </c>
      <c r="M195" s="9"/>
      <c r="N195" s="12">
        <f t="shared" si="22"/>
        <v>46018</v>
      </c>
      <c r="O195" s="9">
        <f t="shared" ca="1" si="23"/>
        <v>3</v>
      </c>
      <c r="P195" s="13" t="str">
        <f t="shared" si="24"/>
        <v>https://secure.booking.com/confirmation.html?bn=6434312635&amp;hc_origin=search&amp;pincode=1631&amp;source=help_center</v>
      </c>
      <c r="Q195" s="9"/>
      <c r="R195" s="9"/>
      <c r="S195" s="9"/>
      <c r="T195" s="9"/>
      <c r="U195" s="9"/>
      <c r="V195" s="9"/>
      <c r="W195" s="9"/>
      <c r="X195" s="9"/>
      <c r="Y195" s="9"/>
      <c r="Z195" s="3"/>
      <c r="AA195" s="3"/>
    </row>
    <row r="196" spans="1:27" ht="15.75" hidden="1" customHeight="1" x14ac:dyDescent="0.25">
      <c r="A196" s="22" t="s">
        <v>766</v>
      </c>
      <c r="B196" s="22" t="s">
        <v>767</v>
      </c>
      <c r="C196" s="24" t="s">
        <v>768</v>
      </c>
      <c r="D196" s="24" t="s">
        <v>4</v>
      </c>
      <c r="E196" s="22" t="s">
        <v>5</v>
      </c>
      <c r="F196" s="22" t="s">
        <v>769</v>
      </c>
      <c r="G196" s="25" t="s">
        <v>770</v>
      </c>
      <c r="H196" s="22" t="s">
        <v>771</v>
      </c>
      <c r="I196" s="22" t="s">
        <v>772</v>
      </c>
      <c r="J196" s="23" t="s">
        <v>785</v>
      </c>
      <c r="K196" s="22" t="s">
        <v>773</v>
      </c>
      <c r="L196" s="22" t="s">
        <v>774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3"/>
      <c r="AA196" s="3"/>
    </row>
    <row r="197" spans="1:27" ht="15.75" customHeight="1" x14ac:dyDescent="0.25">
      <c r="A197" s="17">
        <v>46000</v>
      </c>
      <c r="B197" s="15" t="s">
        <v>786</v>
      </c>
      <c r="C197" s="18">
        <v>6632885013</v>
      </c>
      <c r="D197" s="18">
        <v>271</v>
      </c>
      <c r="E197" s="19"/>
      <c r="F197" s="19" t="s">
        <v>787</v>
      </c>
      <c r="G197" s="20">
        <v>278.41000000000003</v>
      </c>
      <c r="H197" s="17">
        <v>46074</v>
      </c>
      <c r="I197" s="17">
        <v>46075</v>
      </c>
      <c r="J197" s="21">
        <v>120</v>
      </c>
      <c r="K197" s="3" t="s">
        <v>48</v>
      </c>
      <c r="L197" s="19" t="s">
        <v>483</v>
      </c>
      <c r="M197" s="9"/>
      <c r="N197" s="12">
        <f t="shared" ref="N197:N209" si="25">I197+14</f>
        <v>46089</v>
      </c>
      <c r="O197" s="9">
        <f t="shared" ref="O197:O209" ca="1" si="26">N197 - TODAY()</f>
        <v>74</v>
      </c>
      <c r="P197" s="13" t="str">
        <f t="shared" ref="P197:P209" si="27">CONCATENATE("https://secure.booking.com/confirmation.html?bn=",C197,"&amp;hc_origin=search&amp;pincode=",D197,"&amp;source=help_center")</f>
        <v>https://secure.booking.com/confirmation.html?bn=6632885013&amp;hc_origin=search&amp;pincode=271&amp;source=help_center</v>
      </c>
      <c r="Q197" s="9"/>
      <c r="R197" s="9"/>
      <c r="S197" s="9"/>
      <c r="T197" s="9"/>
      <c r="U197" s="9"/>
      <c r="V197" s="9"/>
      <c r="W197" s="9"/>
      <c r="X197" s="9"/>
      <c r="Y197" s="9"/>
      <c r="Z197" s="3"/>
      <c r="AA197" s="3"/>
    </row>
    <row r="198" spans="1:27" ht="15.75" customHeight="1" x14ac:dyDescent="0.25">
      <c r="A198" s="17">
        <v>46000</v>
      </c>
      <c r="B198" s="15" t="s">
        <v>788</v>
      </c>
      <c r="C198" s="18">
        <v>6547050735</v>
      </c>
      <c r="D198" s="18">
        <v>2191</v>
      </c>
      <c r="E198" s="19"/>
      <c r="F198" s="19" t="s">
        <v>782</v>
      </c>
      <c r="G198" s="20">
        <v>1332.85</v>
      </c>
      <c r="H198" s="17">
        <v>46000</v>
      </c>
      <c r="I198" s="17">
        <v>46003</v>
      </c>
      <c r="J198" s="21">
        <v>120</v>
      </c>
      <c r="K198" s="3" t="s">
        <v>48</v>
      </c>
      <c r="L198" s="19" t="s">
        <v>483</v>
      </c>
      <c r="M198" s="9"/>
      <c r="N198" s="12">
        <f t="shared" si="25"/>
        <v>46017</v>
      </c>
      <c r="O198" s="9">
        <f t="shared" ca="1" si="26"/>
        <v>2</v>
      </c>
      <c r="P198" s="13" t="str">
        <f t="shared" si="27"/>
        <v>https://secure.booking.com/confirmation.html?bn=6547050735&amp;hc_origin=search&amp;pincode=2191&amp;source=help_center</v>
      </c>
      <c r="Q198" s="9"/>
      <c r="R198" s="9"/>
      <c r="S198" s="9"/>
      <c r="T198" s="9"/>
      <c r="U198" s="9"/>
      <c r="V198" s="9"/>
      <c r="W198" s="9"/>
      <c r="X198" s="9"/>
      <c r="Y198" s="9"/>
      <c r="Z198" s="3"/>
      <c r="AA198" s="3"/>
    </row>
    <row r="199" spans="1:27" ht="15.75" customHeight="1" x14ac:dyDescent="0.25">
      <c r="A199" s="17">
        <v>46000</v>
      </c>
      <c r="B199" s="15" t="s">
        <v>789</v>
      </c>
      <c r="C199" s="18">
        <v>6779814786</v>
      </c>
      <c r="D199" s="18">
        <v>3612</v>
      </c>
      <c r="E199" s="19"/>
      <c r="F199" s="19" t="s">
        <v>790</v>
      </c>
      <c r="G199" s="20">
        <v>1174.07</v>
      </c>
      <c r="H199" s="17">
        <v>46000</v>
      </c>
      <c r="I199" s="17">
        <v>46003</v>
      </c>
      <c r="J199" s="21">
        <v>120</v>
      </c>
      <c r="K199" s="3" t="s">
        <v>48</v>
      </c>
      <c r="L199" s="19" t="s">
        <v>483</v>
      </c>
      <c r="M199" s="9"/>
      <c r="N199" s="12">
        <f t="shared" si="25"/>
        <v>46017</v>
      </c>
      <c r="O199" s="9">
        <f t="shared" ca="1" si="26"/>
        <v>2</v>
      </c>
      <c r="P199" s="13" t="str">
        <f t="shared" si="27"/>
        <v>https://secure.booking.com/confirmation.html?bn=6779814786&amp;hc_origin=search&amp;pincode=3612&amp;source=help_center</v>
      </c>
      <c r="Q199" s="9"/>
      <c r="R199" s="9"/>
      <c r="S199" s="9"/>
      <c r="T199" s="9"/>
      <c r="U199" s="9"/>
      <c r="V199" s="9"/>
      <c r="W199" s="9"/>
      <c r="X199" s="9"/>
      <c r="Y199" s="9"/>
      <c r="Z199" s="3"/>
      <c r="AA199" s="3"/>
    </row>
    <row r="200" spans="1:27" ht="15.75" customHeight="1" x14ac:dyDescent="0.25">
      <c r="A200" s="17">
        <v>46000</v>
      </c>
      <c r="B200" s="15" t="s">
        <v>791</v>
      </c>
      <c r="C200" s="18">
        <v>5008519507</v>
      </c>
      <c r="D200" s="18">
        <v>8124</v>
      </c>
      <c r="E200" s="19"/>
      <c r="F200" s="19" t="s">
        <v>792</v>
      </c>
      <c r="G200" s="20">
        <v>1135.1600000000001</v>
      </c>
      <c r="H200" s="17">
        <v>46000</v>
      </c>
      <c r="I200" s="17">
        <v>46003</v>
      </c>
      <c r="J200" s="21">
        <v>120</v>
      </c>
      <c r="K200" s="3" t="s">
        <v>48</v>
      </c>
      <c r="L200" s="19" t="s">
        <v>483</v>
      </c>
      <c r="M200" s="9"/>
      <c r="N200" s="12">
        <f t="shared" si="25"/>
        <v>46017</v>
      </c>
      <c r="O200" s="9">
        <f t="shared" ca="1" si="26"/>
        <v>2</v>
      </c>
      <c r="P200" s="13" t="str">
        <f t="shared" si="27"/>
        <v>https://secure.booking.com/confirmation.html?bn=5008519507&amp;hc_origin=search&amp;pincode=8124&amp;source=help_center</v>
      </c>
      <c r="Q200" s="9"/>
      <c r="R200" s="9"/>
      <c r="S200" s="9"/>
      <c r="T200" s="9"/>
      <c r="U200" s="9"/>
      <c r="V200" s="9"/>
      <c r="W200" s="9"/>
      <c r="X200" s="9"/>
      <c r="Y200" s="9"/>
      <c r="Z200" s="3"/>
      <c r="AA200" s="3"/>
    </row>
    <row r="201" spans="1:27" ht="15.75" customHeight="1" x14ac:dyDescent="0.25">
      <c r="A201" s="17">
        <v>46000</v>
      </c>
      <c r="B201" s="15" t="s">
        <v>793</v>
      </c>
      <c r="C201" s="18">
        <v>5298431392</v>
      </c>
      <c r="D201" s="18">
        <v>3007</v>
      </c>
      <c r="E201" s="19"/>
      <c r="F201" s="19" t="s">
        <v>787</v>
      </c>
      <c r="G201" s="20">
        <v>1032.0999999999999</v>
      </c>
      <c r="H201" s="17">
        <v>46000</v>
      </c>
      <c r="I201" s="17">
        <v>46002</v>
      </c>
      <c r="J201" s="21">
        <v>120</v>
      </c>
      <c r="K201" s="3" t="s">
        <v>48</v>
      </c>
      <c r="L201" s="19" t="s">
        <v>483</v>
      </c>
      <c r="M201" s="9"/>
      <c r="N201" s="12">
        <f t="shared" si="25"/>
        <v>46016</v>
      </c>
      <c r="O201" s="9">
        <f t="shared" ca="1" si="26"/>
        <v>1</v>
      </c>
      <c r="P201" s="13" t="str">
        <f t="shared" si="27"/>
        <v>https://secure.booking.com/confirmation.html?bn=5298431392&amp;hc_origin=search&amp;pincode=3007&amp;source=help_center</v>
      </c>
      <c r="Q201" s="9"/>
      <c r="R201" s="9"/>
      <c r="S201" s="9"/>
      <c r="T201" s="9"/>
      <c r="U201" s="9"/>
      <c r="V201" s="9"/>
      <c r="W201" s="9"/>
      <c r="X201" s="9"/>
      <c r="Y201" s="9"/>
      <c r="Z201" s="3"/>
      <c r="AA201" s="3"/>
    </row>
    <row r="202" spans="1:27" ht="15.75" customHeight="1" x14ac:dyDescent="0.25">
      <c r="A202" s="17">
        <v>46004</v>
      </c>
      <c r="B202" s="15" t="s">
        <v>794</v>
      </c>
      <c r="C202" s="18">
        <v>6937405013</v>
      </c>
      <c r="D202" s="18">
        <v>8084</v>
      </c>
      <c r="E202" s="19"/>
      <c r="F202" s="19" t="s">
        <v>795</v>
      </c>
      <c r="G202" s="20">
        <v>1111.92</v>
      </c>
      <c r="H202" s="17">
        <v>46004</v>
      </c>
      <c r="I202" s="17">
        <v>46008</v>
      </c>
      <c r="J202" s="21">
        <v>120</v>
      </c>
      <c r="K202" s="3" t="s">
        <v>48</v>
      </c>
      <c r="L202" s="19" t="s">
        <v>30</v>
      </c>
      <c r="M202" s="9"/>
      <c r="N202" s="12">
        <f t="shared" si="25"/>
        <v>46022</v>
      </c>
      <c r="O202" s="9">
        <f t="shared" ca="1" si="26"/>
        <v>7</v>
      </c>
      <c r="P202" s="13" t="str">
        <f t="shared" si="27"/>
        <v>https://secure.booking.com/confirmation.html?bn=6937405013&amp;hc_origin=search&amp;pincode=8084&amp;source=help_center</v>
      </c>
      <c r="Q202" s="9"/>
      <c r="R202" s="9"/>
      <c r="S202" s="9"/>
      <c r="T202" s="9"/>
      <c r="U202" s="9"/>
      <c r="V202" s="9"/>
      <c r="W202" s="9"/>
      <c r="X202" s="9"/>
      <c r="Y202" s="9"/>
      <c r="Z202" s="3"/>
      <c r="AA202" s="3"/>
    </row>
    <row r="203" spans="1:27" ht="15.75" customHeight="1" x14ac:dyDescent="0.25">
      <c r="A203" s="17">
        <v>46004</v>
      </c>
      <c r="B203" s="15" t="s">
        <v>763</v>
      </c>
      <c r="C203" s="18">
        <v>6659639367</v>
      </c>
      <c r="D203" s="18">
        <v>7059</v>
      </c>
      <c r="E203" s="19"/>
      <c r="F203" s="19" t="s">
        <v>330</v>
      </c>
      <c r="G203" s="20">
        <v>1522.2</v>
      </c>
      <c r="H203" s="17">
        <v>46004</v>
      </c>
      <c r="I203" s="17">
        <v>46005</v>
      </c>
      <c r="J203" s="21">
        <v>120</v>
      </c>
      <c r="K203" s="3" t="s">
        <v>48</v>
      </c>
      <c r="L203" s="19" t="s">
        <v>30</v>
      </c>
      <c r="M203" s="9"/>
      <c r="N203" s="12">
        <f t="shared" si="25"/>
        <v>46019</v>
      </c>
      <c r="O203" s="9">
        <f t="shared" ca="1" si="26"/>
        <v>4</v>
      </c>
      <c r="P203" s="13" t="str">
        <f t="shared" si="27"/>
        <v>https://secure.booking.com/confirmation.html?bn=6659639367&amp;hc_origin=search&amp;pincode=7059&amp;source=help_center</v>
      </c>
      <c r="Q203" s="9"/>
      <c r="R203" s="9"/>
      <c r="S203" s="9"/>
      <c r="T203" s="9"/>
      <c r="U203" s="9"/>
      <c r="V203" s="9"/>
      <c r="W203" s="9"/>
      <c r="X203" s="9"/>
      <c r="Y203" s="9"/>
      <c r="Z203" s="3"/>
      <c r="AA203" s="3"/>
    </row>
    <row r="204" spans="1:27" ht="15.75" customHeight="1" x14ac:dyDescent="0.25">
      <c r="A204" s="17">
        <v>46004</v>
      </c>
      <c r="B204" s="15" t="s">
        <v>796</v>
      </c>
      <c r="C204" s="18">
        <v>6337454234</v>
      </c>
      <c r="D204" s="18">
        <v>2001</v>
      </c>
      <c r="E204" s="19"/>
      <c r="F204" s="19" t="s">
        <v>156</v>
      </c>
      <c r="G204" s="20">
        <v>1139.22</v>
      </c>
      <c r="H204" s="17">
        <v>46004</v>
      </c>
      <c r="I204" s="17">
        <v>46010</v>
      </c>
      <c r="J204" s="21">
        <v>120</v>
      </c>
      <c r="K204" s="3" t="s">
        <v>48</v>
      </c>
      <c r="L204" s="19" t="s">
        <v>483</v>
      </c>
      <c r="M204" s="9"/>
      <c r="N204" s="12">
        <f t="shared" si="25"/>
        <v>46024</v>
      </c>
      <c r="O204" s="9">
        <f t="shared" ca="1" si="26"/>
        <v>9</v>
      </c>
      <c r="P204" s="13" t="str">
        <f t="shared" si="27"/>
        <v>https://secure.booking.com/confirmation.html?bn=6337454234&amp;hc_origin=search&amp;pincode=2001&amp;source=help_center</v>
      </c>
      <c r="Q204" s="9"/>
      <c r="R204" s="9"/>
      <c r="S204" s="9"/>
      <c r="T204" s="9"/>
      <c r="U204" s="9"/>
      <c r="V204" s="9"/>
      <c r="W204" s="9"/>
      <c r="X204" s="9"/>
      <c r="Y204" s="9"/>
      <c r="Z204" s="3"/>
      <c r="AA204" s="3"/>
    </row>
    <row r="205" spans="1:27" ht="15.75" customHeight="1" x14ac:dyDescent="0.25">
      <c r="A205" s="17">
        <v>46004</v>
      </c>
      <c r="B205" s="15" t="s">
        <v>797</v>
      </c>
      <c r="C205" s="18">
        <v>5097383621</v>
      </c>
      <c r="D205" s="18">
        <v>6625</v>
      </c>
      <c r="E205" s="19"/>
      <c r="F205" s="19" t="s">
        <v>798</v>
      </c>
      <c r="G205" s="20">
        <v>665.25</v>
      </c>
      <c r="H205" s="17">
        <v>46011</v>
      </c>
      <c r="I205" s="17">
        <v>46015</v>
      </c>
      <c r="J205" s="21">
        <v>35</v>
      </c>
      <c r="K205" s="3" t="s">
        <v>48</v>
      </c>
      <c r="L205" s="19" t="s">
        <v>30</v>
      </c>
      <c r="M205" s="9"/>
      <c r="N205" s="12">
        <f t="shared" si="25"/>
        <v>46029</v>
      </c>
      <c r="O205" s="9">
        <f t="shared" ca="1" si="26"/>
        <v>14</v>
      </c>
      <c r="P205" s="13" t="str">
        <f t="shared" si="27"/>
        <v>https://secure.booking.com/confirmation.html?bn=5097383621&amp;hc_origin=search&amp;pincode=6625&amp;source=help_center</v>
      </c>
      <c r="Q205" s="9"/>
      <c r="R205" s="9"/>
      <c r="S205" s="9"/>
      <c r="T205" s="9"/>
      <c r="U205" s="9"/>
      <c r="V205" s="9"/>
      <c r="W205" s="9"/>
      <c r="X205" s="9"/>
      <c r="Y205" s="9"/>
      <c r="Z205" s="3"/>
      <c r="AA205" s="3"/>
    </row>
    <row r="206" spans="1:27" ht="15.75" customHeight="1" x14ac:dyDescent="0.25">
      <c r="A206" s="17">
        <v>46006</v>
      </c>
      <c r="B206" s="15" t="s">
        <v>799</v>
      </c>
      <c r="C206" s="19">
        <v>5051780387</v>
      </c>
      <c r="D206" s="19">
        <v>6635</v>
      </c>
      <c r="E206" s="19"/>
      <c r="F206" s="19" t="s">
        <v>800</v>
      </c>
      <c r="G206" s="21">
        <v>6066.89</v>
      </c>
      <c r="H206" s="17">
        <v>46093</v>
      </c>
      <c r="I206" s="17">
        <v>46094</v>
      </c>
      <c r="J206" s="21">
        <v>120</v>
      </c>
      <c r="K206" s="3" t="s">
        <v>48</v>
      </c>
      <c r="L206" s="19" t="s">
        <v>483</v>
      </c>
      <c r="M206" s="9"/>
      <c r="N206" s="12">
        <f t="shared" si="25"/>
        <v>46108</v>
      </c>
      <c r="O206" s="9">
        <f t="shared" ca="1" si="26"/>
        <v>93</v>
      </c>
      <c r="P206" s="13" t="str">
        <f t="shared" si="27"/>
        <v>https://secure.booking.com/confirmation.html?bn=5051780387&amp;hc_origin=search&amp;pincode=6635&amp;source=help_center</v>
      </c>
      <c r="Q206" s="9"/>
      <c r="R206" s="9"/>
      <c r="S206" s="9"/>
      <c r="T206" s="9"/>
      <c r="U206" s="9"/>
      <c r="V206" s="9"/>
      <c r="W206" s="9"/>
      <c r="X206" s="9"/>
      <c r="Y206" s="9"/>
      <c r="Z206" s="3"/>
      <c r="AA206" s="3"/>
    </row>
    <row r="207" spans="1:27" ht="15.75" customHeight="1" x14ac:dyDescent="0.25">
      <c r="A207" s="17">
        <v>45948</v>
      </c>
      <c r="B207" s="15" t="s">
        <v>801</v>
      </c>
      <c r="C207" s="19">
        <v>6290944526</v>
      </c>
      <c r="D207" s="19">
        <v>3802</v>
      </c>
      <c r="E207" s="19"/>
      <c r="F207" s="19" t="s">
        <v>220</v>
      </c>
      <c r="G207" s="21">
        <v>1334.14</v>
      </c>
      <c r="H207" s="17">
        <v>46011</v>
      </c>
      <c r="I207" s="17">
        <v>46016</v>
      </c>
      <c r="J207" s="21">
        <v>120</v>
      </c>
      <c r="K207" s="3" t="s">
        <v>48</v>
      </c>
      <c r="L207" s="19" t="s">
        <v>483</v>
      </c>
      <c r="M207" s="9"/>
      <c r="N207" s="12">
        <f t="shared" si="25"/>
        <v>46030</v>
      </c>
      <c r="O207" s="9">
        <f t="shared" ca="1" si="26"/>
        <v>15</v>
      </c>
      <c r="P207" s="13" t="str">
        <f t="shared" si="27"/>
        <v>https://secure.booking.com/confirmation.html?bn=6290944526&amp;hc_origin=search&amp;pincode=3802&amp;source=help_center</v>
      </c>
      <c r="Q207" s="9"/>
      <c r="R207" s="9"/>
      <c r="S207" s="9"/>
      <c r="T207" s="9"/>
      <c r="U207" s="9"/>
      <c r="V207" s="9"/>
      <c r="W207" s="9"/>
      <c r="X207" s="9"/>
      <c r="Y207" s="9"/>
      <c r="Z207" s="3"/>
      <c r="AA207" s="3"/>
    </row>
    <row r="208" spans="1:27" ht="15.75" customHeight="1" x14ac:dyDescent="0.25">
      <c r="A208" s="17">
        <v>45948</v>
      </c>
      <c r="B208" s="15" t="s">
        <v>802</v>
      </c>
      <c r="C208" s="19">
        <v>5307999762</v>
      </c>
      <c r="D208" s="19">
        <v>1871</v>
      </c>
      <c r="E208" s="19"/>
      <c r="F208" s="19" t="s">
        <v>67</v>
      </c>
      <c r="G208" s="21">
        <v>1429.4</v>
      </c>
      <c r="H208" s="17">
        <v>46011</v>
      </c>
      <c r="I208" s="17">
        <v>46016</v>
      </c>
      <c r="J208" s="21">
        <v>120</v>
      </c>
      <c r="K208" s="3" t="s">
        <v>48</v>
      </c>
      <c r="L208" s="19" t="s">
        <v>30</v>
      </c>
      <c r="M208" s="9"/>
      <c r="N208" s="12">
        <f t="shared" si="25"/>
        <v>46030</v>
      </c>
      <c r="O208" s="9">
        <f t="shared" ca="1" si="26"/>
        <v>15</v>
      </c>
      <c r="P208" s="13" t="str">
        <f t="shared" si="27"/>
        <v>https://secure.booking.com/confirmation.html?bn=5307999762&amp;hc_origin=search&amp;pincode=1871&amp;source=help_center</v>
      </c>
      <c r="Q208" s="9"/>
      <c r="R208" s="9"/>
      <c r="S208" s="9"/>
      <c r="T208" s="9"/>
      <c r="U208" s="9"/>
      <c r="V208" s="9"/>
      <c r="W208" s="9"/>
      <c r="X208" s="9"/>
      <c r="Y208" s="9"/>
      <c r="Z208" s="3"/>
      <c r="AA208" s="3"/>
    </row>
    <row r="209" spans="1:27" ht="15.75" customHeight="1" x14ac:dyDescent="0.25">
      <c r="A209" s="17">
        <v>46014</v>
      </c>
      <c r="B209" s="15" t="s">
        <v>803</v>
      </c>
      <c r="C209" s="19">
        <v>6647955679</v>
      </c>
      <c r="D209" s="19">
        <v>4974</v>
      </c>
      <c r="E209" s="19"/>
      <c r="F209" s="19" t="s">
        <v>458</v>
      </c>
      <c r="G209" s="21">
        <v>1371.33</v>
      </c>
      <c r="H209" s="17">
        <v>46014</v>
      </c>
      <c r="I209" s="17">
        <v>46073</v>
      </c>
      <c r="J209" s="21">
        <v>120</v>
      </c>
      <c r="K209" s="3" t="s">
        <v>48</v>
      </c>
      <c r="L209" s="19" t="s">
        <v>30</v>
      </c>
      <c r="M209" s="9"/>
      <c r="N209" s="12">
        <f t="shared" si="25"/>
        <v>46087</v>
      </c>
      <c r="O209" s="9">
        <f t="shared" ca="1" si="26"/>
        <v>72</v>
      </c>
      <c r="P209" s="13" t="str">
        <f t="shared" si="27"/>
        <v>https://secure.booking.com/confirmation.html?bn=6647955679&amp;hc_origin=search&amp;pincode=4974&amp;source=help_center</v>
      </c>
      <c r="Q209" s="9"/>
      <c r="R209" s="9"/>
      <c r="S209" s="9"/>
      <c r="T209" s="9"/>
      <c r="U209" s="9"/>
      <c r="V209" s="9"/>
      <c r="W209" s="9"/>
      <c r="X209" s="9"/>
      <c r="Y209" s="9"/>
      <c r="Z209" s="3"/>
      <c r="AA209" s="3"/>
    </row>
    <row r="210" spans="1:27" ht="15.75" customHeight="1" x14ac:dyDescent="0.25">
      <c r="A210" s="12"/>
      <c r="B210" s="9"/>
      <c r="C210" s="9"/>
      <c r="D210" s="9"/>
      <c r="E210" s="9"/>
      <c r="F210" s="9" t="str">
        <f>IFERROR(VLOOKUP(E210, [1]Hotels!$A:$B, 2, FALSE),"")</f>
        <v/>
      </c>
      <c r="G210" s="11"/>
      <c r="H210" s="12"/>
      <c r="I210" s="12"/>
      <c r="J210" s="11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3"/>
      <c r="AA210" s="3"/>
    </row>
    <row r="211" spans="1:27" ht="15.75" customHeight="1" x14ac:dyDescent="0.25">
      <c r="A211" s="12"/>
      <c r="B211" s="9"/>
      <c r="C211" s="9"/>
      <c r="D211" s="9"/>
      <c r="E211" s="9"/>
      <c r="F211" s="9"/>
      <c r="G211" s="11"/>
      <c r="H211" s="12"/>
      <c r="I211" s="12"/>
      <c r="J211" s="11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3"/>
      <c r="AA211" s="3"/>
    </row>
    <row r="212" spans="1:27" ht="15.75" customHeight="1" x14ac:dyDescent="0.25">
      <c r="A212" s="12"/>
      <c r="B212" s="9"/>
      <c r="C212" s="9"/>
      <c r="D212" s="9"/>
      <c r="E212" s="9"/>
      <c r="F212" s="9"/>
      <c r="G212" s="11"/>
      <c r="H212" s="12"/>
      <c r="I212" s="12"/>
      <c r="J212" s="11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3"/>
      <c r="AA212" s="3"/>
    </row>
    <row r="213" spans="1:27" ht="15.75" customHeight="1" x14ac:dyDescent="0.25">
      <c r="A213" s="12"/>
      <c r="B213" s="9"/>
      <c r="C213" s="9"/>
      <c r="D213" s="9"/>
      <c r="E213" s="9"/>
      <c r="F213" s="9"/>
      <c r="G213" s="11"/>
      <c r="H213" s="12"/>
      <c r="I213" s="12"/>
      <c r="J213" s="11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3"/>
      <c r="AA213" s="3"/>
    </row>
    <row r="214" spans="1:27" ht="15.75" customHeight="1" x14ac:dyDescent="0.25">
      <c r="A214" s="12"/>
      <c r="B214" s="9"/>
      <c r="C214" s="9"/>
      <c r="D214" s="9"/>
      <c r="E214" s="9"/>
      <c r="F214" s="9"/>
      <c r="G214" s="11"/>
      <c r="H214" s="12"/>
      <c r="I214" s="12"/>
      <c r="J214" s="11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3"/>
      <c r="AA214" s="3"/>
    </row>
    <row r="215" spans="1:27" ht="15.75" customHeight="1" x14ac:dyDescent="0.25">
      <c r="A215" s="12"/>
      <c r="B215" s="9"/>
      <c r="C215" s="9"/>
      <c r="D215" s="9"/>
      <c r="E215" s="9"/>
      <c r="F215" s="9"/>
      <c r="G215" s="11"/>
      <c r="H215" s="12"/>
      <c r="I215" s="12"/>
      <c r="J215" s="11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3"/>
      <c r="AA215" s="3"/>
    </row>
    <row r="216" spans="1:27" ht="15.75" customHeight="1" x14ac:dyDescent="0.25">
      <c r="A216" s="12"/>
      <c r="B216" s="9"/>
      <c r="C216" s="9"/>
      <c r="D216" s="9"/>
      <c r="E216" s="9"/>
      <c r="F216" s="9"/>
      <c r="G216" s="11"/>
      <c r="H216" s="12"/>
      <c r="I216" s="12"/>
      <c r="J216" s="11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3"/>
      <c r="AA216" s="3"/>
    </row>
    <row r="217" spans="1:27" ht="15.75" customHeight="1" x14ac:dyDescent="0.25">
      <c r="A217" s="12"/>
      <c r="B217" s="9"/>
      <c r="C217" s="9"/>
      <c r="D217" s="9"/>
      <c r="E217" s="9"/>
      <c r="F217" s="9"/>
      <c r="G217" s="11"/>
      <c r="H217" s="12"/>
      <c r="I217" s="12"/>
      <c r="J217" s="11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3"/>
      <c r="AA217" s="3"/>
    </row>
    <row r="218" spans="1:27" ht="15.75" customHeight="1" x14ac:dyDescent="0.25">
      <c r="A218" s="12"/>
      <c r="B218" s="9"/>
      <c r="C218" s="9"/>
      <c r="D218" s="9"/>
      <c r="E218" s="9"/>
      <c r="F218" s="9"/>
      <c r="G218" s="11"/>
      <c r="H218" s="12"/>
      <c r="I218" s="12"/>
      <c r="J218" s="11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3"/>
      <c r="AA218" s="3"/>
    </row>
    <row r="219" spans="1:27" ht="15.75" customHeight="1" x14ac:dyDescent="0.25">
      <c r="A219" s="12"/>
      <c r="B219" s="9"/>
      <c r="C219" s="9"/>
      <c r="D219" s="9"/>
      <c r="E219" s="9"/>
      <c r="F219" s="9"/>
      <c r="G219" s="11"/>
      <c r="H219" s="12"/>
      <c r="I219" s="12"/>
      <c r="J219" s="11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3"/>
      <c r="AA219" s="3"/>
    </row>
    <row r="220" spans="1:27" ht="15.75" customHeight="1" x14ac:dyDescent="0.25">
      <c r="A220" s="12"/>
      <c r="B220" s="9"/>
      <c r="C220" s="9"/>
      <c r="D220" s="9"/>
      <c r="E220" s="9"/>
      <c r="F220" s="9"/>
      <c r="G220" s="11"/>
      <c r="H220" s="12"/>
      <c r="I220" s="12"/>
      <c r="J220" s="11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3"/>
      <c r="AA220" s="3"/>
    </row>
    <row r="221" spans="1:27" ht="15.75" customHeight="1" x14ac:dyDescent="0.25">
      <c r="A221" s="12"/>
      <c r="B221" s="9"/>
      <c r="C221" s="9"/>
      <c r="D221" s="9"/>
      <c r="E221" s="9"/>
      <c r="F221" s="9"/>
      <c r="G221" s="11"/>
      <c r="H221" s="12"/>
      <c r="I221" s="12"/>
      <c r="J221" s="11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3"/>
      <c r="AA221" s="3"/>
    </row>
    <row r="222" spans="1:27" ht="15.75" customHeight="1" x14ac:dyDescent="0.25">
      <c r="A222" s="12"/>
      <c r="B222" s="9"/>
      <c r="C222" s="9"/>
      <c r="D222" s="9"/>
      <c r="E222" s="9"/>
      <c r="F222" s="9"/>
      <c r="G222" s="11"/>
      <c r="H222" s="12"/>
      <c r="I222" s="12"/>
      <c r="J222" s="11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3"/>
      <c r="AA222" s="3"/>
    </row>
    <row r="223" spans="1:27" ht="15.75" customHeight="1" x14ac:dyDescent="0.25">
      <c r="A223" s="12"/>
      <c r="B223" s="9"/>
      <c r="C223" s="9"/>
      <c r="D223" s="9"/>
      <c r="E223" s="9"/>
      <c r="F223" s="9"/>
      <c r="G223" s="11"/>
      <c r="H223" s="12"/>
      <c r="I223" s="12"/>
      <c r="J223" s="11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3"/>
      <c r="AA223" s="3"/>
    </row>
    <row r="224" spans="1:27" ht="15.75" customHeight="1" x14ac:dyDescent="0.25">
      <c r="A224" s="12"/>
      <c r="B224" s="9"/>
      <c r="C224" s="9"/>
      <c r="D224" s="9"/>
      <c r="E224" s="9"/>
      <c r="F224" s="9"/>
      <c r="G224" s="11"/>
      <c r="H224" s="12"/>
      <c r="I224" s="12"/>
      <c r="J224" s="11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3"/>
      <c r="AA224" s="3"/>
    </row>
    <row r="225" spans="1:27" ht="15.75" customHeight="1" x14ac:dyDescent="0.25">
      <c r="A225" s="12"/>
      <c r="B225" s="9"/>
      <c r="C225" s="9"/>
      <c r="D225" s="9"/>
      <c r="E225" s="9"/>
      <c r="F225" s="9"/>
      <c r="G225" s="11"/>
      <c r="H225" s="12"/>
      <c r="I225" s="12"/>
      <c r="J225" s="11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3"/>
      <c r="AA225" s="3"/>
    </row>
    <row r="226" spans="1:27" ht="15.75" customHeight="1" x14ac:dyDescent="0.25">
      <c r="A226" s="12"/>
      <c r="B226" s="9"/>
      <c r="C226" s="9"/>
      <c r="D226" s="9"/>
      <c r="E226" s="9"/>
      <c r="F226" s="9"/>
      <c r="G226" s="11"/>
      <c r="H226" s="12"/>
      <c r="I226" s="12"/>
      <c r="J226" s="11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3"/>
      <c r="AA226" s="3"/>
    </row>
    <row r="227" spans="1:27" ht="15.75" customHeight="1" x14ac:dyDescent="0.25">
      <c r="A227" s="12"/>
      <c r="B227" s="9"/>
      <c r="C227" s="9"/>
      <c r="D227" s="9"/>
      <c r="E227" s="9"/>
      <c r="F227" s="9"/>
      <c r="G227" s="11"/>
      <c r="H227" s="12"/>
      <c r="I227" s="12"/>
      <c r="J227" s="11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3"/>
      <c r="AA227" s="3"/>
    </row>
    <row r="228" spans="1:27" ht="15.75" customHeight="1" x14ac:dyDescent="0.25">
      <c r="A228" s="12"/>
      <c r="B228" s="9"/>
      <c r="C228" s="9"/>
      <c r="D228" s="9"/>
      <c r="E228" s="9"/>
      <c r="F228" s="9"/>
      <c r="G228" s="11"/>
      <c r="H228" s="12"/>
      <c r="I228" s="12"/>
      <c r="J228" s="11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3"/>
      <c r="AA228" s="3"/>
    </row>
    <row r="229" spans="1:27" ht="15.75" customHeight="1" x14ac:dyDescent="0.25">
      <c r="A229" s="12"/>
      <c r="B229" s="9"/>
      <c r="C229" s="9"/>
      <c r="D229" s="9"/>
      <c r="E229" s="9"/>
      <c r="F229" s="9"/>
      <c r="G229" s="11"/>
      <c r="H229" s="12"/>
      <c r="I229" s="12"/>
      <c r="J229" s="11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3"/>
      <c r="AA229" s="3"/>
    </row>
    <row r="230" spans="1:27" ht="15.75" customHeight="1" x14ac:dyDescent="0.25">
      <c r="A230" s="12"/>
      <c r="B230" s="9"/>
      <c r="C230" s="9"/>
      <c r="D230" s="9"/>
      <c r="E230" s="9"/>
      <c r="F230" s="9"/>
      <c r="G230" s="11"/>
      <c r="H230" s="12"/>
      <c r="I230" s="12"/>
      <c r="J230" s="11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3"/>
      <c r="AA230" s="3"/>
    </row>
    <row r="231" spans="1:27" ht="15.75" customHeight="1" x14ac:dyDescent="0.25">
      <c r="A231" s="12"/>
      <c r="B231" s="9"/>
      <c r="C231" s="9"/>
      <c r="D231" s="9"/>
      <c r="E231" s="9"/>
      <c r="F231" s="9"/>
      <c r="G231" s="11"/>
      <c r="H231" s="12"/>
      <c r="I231" s="12"/>
      <c r="J231" s="11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3"/>
      <c r="AA231" s="3"/>
    </row>
    <row r="232" spans="1:27" ht="15.75" customHeight="1" x14ac:dyDescent="0.25">
      <c r="A232" s="12"/>
      <c r="B232" s="9"/>
      <c r="C232" s="9"/>
      <c r="D232" s="9"/>
      <c r="E232" s="9"/>
      <c r="F232" s="9"/>
      <c r="G232" s="11"/>
      <c r="H232" s="12"/>
      <c r="I232" s="12"/>
      <c r="J232" s="11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3"/>
      <c r="AA232" s="3"/>
    </row>
    <row r="233" spans="1:27" ht="15.75" customHeight="1" x14ac:dyDescent="0.25">
      <c r="A233" s="12"/>
      <c r="B233" s="9"/>
      <c r="C233" s="9"/>
      <c r="D233" s="9"/>
      <c r="E233" s="9"/>
      <c r="F233" s="9"/>
      <c r="G233" s="11"/>
      <c r="H233" s="12"/>
      <c r="I233" s="12"/>
      <c r="J233" s="11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3"/>
      <c r="AA233" s="3"/>
    </row>
    <row r="234" spans="1:27" ht="15.75" customHeight="1" x14ac:dyDescent="0.25">
      <c r="A234" s="12"/>
      <c r="B234" s="9"/>
      <c r="C234" s="9"/>
      <c r="D234" s="9"/>
      <c r="E234" s="9"/>
      <c r="F234" s="9"/>
      <c r="G234" s="11"/>
      <c r="H234" s="12"/>
      <c r="I234" s="12"/>
      <c r="J234" s="11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3"/>
      <c r="AA234" s="3"/>
    </row>
    <row r="235" spans="1:27" ht="15.75" customHeight="1" x14ac:dyDescent="0.25">
      <c r="A235" s="12"/>
      <c r="B235" s="9"/>
      <c r="C235" s="9"/>
      <c r="D235" s="9"/>
      <c r="E235" s="9"/>
      <c r="F235" s="9"/>
      <c r="G235" s="11"/>
      <c r="H235" s="12"/>
      <c r="I235" s="12"/>
      <c r="J235" s="11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3"/>
      <c r="AA235" s="3"/>
    </row>
    <row r="236" spans="1:27" ht="15.75" customHeight="1" x14ac:dyDescent="0.25">
      <c r="A236" s="12"/>
      <c r="B236" s="9"/>
      <c r="C236" s="9"/>
      <c r="D236" s="9"/>
      <c r="E236" s="9"/>
      <c r="F236" s="9"/>
      <c r="G236" s="11"/>
      <c r="H236" s="12"/>
      <c r="I236" s="12"/>
      <c r="J236" s="11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3"/>
      <c r="AA236" s="3"/>
    </row>
    <row r="237" spans="1:27" ht="15.75" customHeight="1" x14ac:dyDescent="0.25">
      <c r="A237" s="8"/>
      <c r="B237" s="3"/>
      <c r="C237" s="3"/>
      <c r="D237" s="10"/>
      <c r="E237" s="3"/>
      <c r="F237" s="3"/>
      <c r="G237" s="14"/>
      <c r="H237" s="26"/>
      <c r="I237" s="2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8"/>
      <c r="B238" s="3"/>
      <c r="C238" s="3"/>
      <c r="D238" s="10"/>
      <c r="E238" s="3"/>
      <c r="F238" s="3"/>
      <c r="G238" s="14"/>
      <c r="H238" s="26"/>
      <c r="I238" s="2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8"/>
      <c r="B239" s="3"/>
      <c r="C239" s="3"/>
      <c r="D239" s="10"/>
      <c r="E239" s="3"/>
      <c r="F239" s="3"/>
      <c r="G239" s="14"/>
      <c r="H239" s="26"/>
      <c r="I239" s="2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8"/>
      <c r="B240" s="3"/>
      <c r="C240" s="3"/>
      <c r="D240" s="10"/>
      <c r="E240" s="3"/>
      <c r="F240" s="3"/>
      <c r="G240" s="14"/>
      <c r="H240" s="26"/>
      <c r="I240" s="2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8"/>
      <c r="B241" s="3"/>
      <c r="C241" s="3"/>
      <c r="D241" s="10"/>
      <c r="E241" s="3"/>
      <c r="F241" s="3"/>
      <c r="G241" s="14"/>
      <c r="H241" s="26"/>
      <c r="I241" s="2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8"/>
      <c r="B242" s="3"/>
      <c r="C242" s="3"/>
      <c r="D242" s="10"/>
      <c r="E242" s="3"/>
      <c r="F242" s="3"/>
      <c r="G242" s="14"/>
      <c r="H242" s="26"/>
      <c r="I242" s="2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8"/>
      <c r="B243" s="3"/>
      <c r="C243" s="3"/>
      <c r="D243" s="10"/>
      <c r="E243" s="3"/>
      <c r="F243" s="3"/>
      <c r="G243" s="14"/>
      <c r="H243" s="26"/>
      <c r="I243" s="2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8"/>
      <c r="B244" s="3"/>
      <c r="C244" s="3"/>
      <c r="D244" s="10"/>
      <c r="E244" s="3"/>
      <c r="F244" s="3"/>
      <c r="G244" s="14"/>
      <c r="H244" s="26"/>
      <c r="I244" s="2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8"/>
      <c r="B245" s="3"/>
      <c r="C245" s="3"/>
      <c r="D245" s="10"/>
      <c r="E245" s="3"/>
      <c r="F245" s="3"/>
      <c r="G245" s="14"/>
      <c r="H245" s="26"/>
      <c r="I245" s="2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8"/>
      <c r="B246" s="3"/>
      <c r="C246" s="3"/>
      <c r="D246" s="10"/>
      <c r="E246" s="3"/>
      <c r="F246" s="3"/>
      <c r="G246" s="14"/>
      <c r="H246" s="26"/>
      <c r="I246" s="2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8"/>
      <c r="B247" s="3"/>
      <c r="C247" s="3"/>
      <c r="D247" s="10"/>
      <c r="E247" s="3"/>
      <c r="F247" s="3"/>
      <c r="G247" s="14"/>
      <c r="H247" s="26"/>
      <c r="I247" s="2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8"/>
      <c r="B248" s="3"/>
      <c r="C248" s="3"/>
      <c r="D248" s="10"/>
      <c r="E248" s="3"/>
      <c r="F248" s="3"/>
      <c r="G248" s="14"/>
      <c r="H248" s="26"/>
      <c r="I248" s="2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8"/>
      <c r="B249" s="3"/>
      <c r="C249" s="3"/>
      <c r="D249" s="10"/>
      <c r="E249" s="3"/>
      <c r="F249" s="3"/>
      <c r="G249" s="14"/>
      <c r="H249" s="26"/>
      <c r="I249" s="2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8"/>
      <c r="B250" s="3"/>
      <c r="C250" s="3"/>
      <c r="D250" s="10"/>
      <c r="E250" s="3"/>
      <c r="F250" s="3"/>
      <c r="G250" s="14"/>
      <c r="H250" s="26"/>
      <c r="I250" s="2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8"/>
      <c r="B251" s="3"/>
      <c r="C251" s="3"/>
      <c r="D251" s="10"/>
      <c r="E251" s="3"/>
      <c r="F251" s="3"/>
      <c r="G251" s="14"/>
      <c r="H251" s="26"/>
      <c r="I251" s="2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8"/>
      <c r="B252" s="3"/>
      <c r="C252" s="3"/>
      <c r="D252" s="10"/>
      <c r="E252" s="3"/>
      <c r="F252" s="3"/>
      <c r="G252" s="14"/>
      <c r="H252" s="26"/>
      <c r="I252" s="2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8"/>
      <c r="B253" s="3"/>
      <c r="C253" s="3"/>
      <c r="D253" s="10"/>
      <c r="E253" s="3"/>
      <c r="F253" s="3"/>
      <c r="G253" s="14"/>
      <c r="H253" s="26"/>
      <c r="I253" s="2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8"/>
      <c r="B254" s="3"/>
      <c r="C254" s="3"/>
      <c r="D254" s="10"/>
      <c r="E254" s="3"/>
      <c r="F254" s="3"/>
      <c r="G254" s="14"/>
      <c r="H254" s="26"/>
      <c r="I254" s="2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8"/>
      <c r="B255" s="3"/>
      <c r="C255" s="3"/>
      <c r="D255" s="10"/>
      <c r="E255" s="3"/>
      <c r="F255" s="3"/>
      <c r="G255" s="14"/>
      <c r="H255" s="26"/>
      <c r="I255" s="2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8"/>
      <c r="B256" s="3"/>
      <c r="C256" s="3"/>
      <c r="D256" s="10"/>
      <c r="E256" s="3"/>
      <c r="F256" s="3"/>
      <c r="G256" s="14"/>
      <c r="H256" s="26"/>
      <c r="I256" s="2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8"/>
      <c r="B257" s="3"/>
      <c r="C257" s="3"/>
      <c r="D257" s="10"/>
      <c r="E257" s="3"/>
      <c r="F257" s="3"/>
      <c r="G257" s="14"/>
      <c r="H257" s="26"/>
      <c r="I257" s="2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8"/>
      <c r="B258" s="3"/>
      <c r="C258" s="3"/>
      <c r="D258" s="10"/>
      <c r="E258" s="3"/>
      <c r="F258" s="3"/>
      <c r="G258" s="14"/>
      <c r="H258" s="26"/>
      <c r="I258" s="2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8"/>
      <c r="B259" s="3"/>
      <c r="C259" s="3"/>
      <c r="D259" s="10"/>
      <c r="E259" s="3"/>
      <c r="F259" s="3"/>
      <c r="G259" s="14"/>
      <c r="H259" s="26"/>
      <c r="I259" s="2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8"/>
      <c r="B260" s="3"/>
      <c r="C260" s="3"/>
      <c r="D260" s="10"/>
      <c r="E260" s="3"/>
      <c r="F260" s="3"/>
      <c r="G260" s="14"/>
      <c r="H260" s="26"/>
      <c r="I260" s="2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8"/>
      <c r="B261" s="3"/>
      <c r="C261" s="3"/>
      <c r="D261" s="10"/>
      <c r="E261" s="3"/>
      <c r="F261" s="3"/>
      <c r="G261" s="14"/>
      <c r="H261" s="26"/>
      <c r="I261" s="2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8"/>
      <c r="B262" s="3"/>
      <c r="C262" s="3"/>
      <c r="D262" s="10"/>
      <c r="E262" s="3"/>
      <c r="F262" s="3"/>
      <c r="G262" s="14"/>
      <c r="H262" s="26"/>
      <c r="I262" s="2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8"/>
      <c r="B263" s="3"/>
      <c r="C263" s="3"/>
      <c r="D263" s="10"/>
      <c r="E263" s="3"/>
      <c r="F263" s="3"/>
      <c r="G263" s="14"/>
      <c r="H263" s="26"/>
      <c r="I263" s="2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8"/>
      <c r="B264" s="3"/>
      <c r="C264" s="3"/>
      <c r="D264" s="10"/>
      <c r="E264" s="3"/>
      <c r="F264" s="3"/>
      <c r="G264" s="14"/>
      <c r="H264" s="26"/>
      <c r="I264" s="2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8"/>
      <c r="B265" s="3"/>
      <c r="C265" s="3"/>
      <c r="D265" s="10"/>
      <c r="E265" s="3"/>
      <c r="F265" s="3"/>
      <c r="G265" s="14"/>
      <c r="H265" s="26"/>
      <c r="I265" s="2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8"/>
      <c r="B266" s="3"/>
      <c r="C266" s="3"/>
      <c r="D266" s="10"/>
      <c r="E266" s="3"/>
      <c r="F266" s="3"/>
      <c r="G266" s="14"/>
      <c r="H266" s="26"/>
      <c r="I266" s="2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8"/>
      <c r="B267" s="3"/>
      <c r="C267" s="3"/>
      <c r="D267" s="10"/>
      <c r="E267" s="3"/>
      <c r="F267" s="3"/>
      <c r="G267" s="14"/>
      <c r="H267" s="26"/>
      <c r="I267" s="2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8"/>
      <c r="B268" s="3"/>
      <c r="C268" s="3"/>
      <c r="D268" s="10"/>
      <c r="E268" s="3"/>
      <c r="F268" s="3"/>
      <c r="G268" s="14"/>
      <c r="H268" s="26"/>
      <c r="I268" s="2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8"/>
      <c r="B269" s="3"/>
      <c r="C269" s="3"/>
      <c r="D269" s="10"/>
      <c r="E269" s="3"/>
      <c r="F269" s="3"/>
      <c r="G269" s="14"/>
      <c r="H269" s="26"/>
      <c r="I269" s="2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8"/>
      <c r="B270" s="3"/>
      <c r="C270" s="3"/>
      <c r="D270" s="10"/>
      <c r="E270" s="3"/>
      <c r="F270" s="3"/>
      <c r="G270" s="14"/>
      <c r="H270" s="26"/>
      <c r="I270" s="2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8"/>
      <c r="B271" s="3"/>
      <c r="C271" s="3"/>
      <c r="D271" s="10"/>
      <c r="E271" s="3"/>
      <c r="F271" s="3"/>
      <c r="G271" s="14"/>
      <c r="H271" s="26"/>
      <c r="I271" s="2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8"/>
      <c r="B272" s="3"/>
      <c r="C272" s="3"/>
      <c r="D272" s="10"/>
      <c r="E272" s="3"/>
      <c r="F272" s="3"/>
      <c r="G272" s="14"/>
      <c r="H272" s="26"/>
      <c r="I272" s="2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8"/>
      <c r="B273" s="3"/>
      <c r="C273" s="3"/>
      <c r="D273" s="10"/>
      <c r="E273" s="3"/>
      <c r="F273" s="3"/>
      <c r="G273" s="14"/>
      <c r="H273" s="26"/>
      <c r="I273" s="2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8"/>
      <c r="B274" s="3"/>
      <c r="C274" s="3"/>
      <c r="D274" s="10"/>
      <c r="E274" s="3"/>
      <c r="F274" s="3"/>
      <c r="G274" s="14"/>
      <c r="H274" s="26"/>
      <c r="I274" s="2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8"/>
      <c r="B275" s="3"/>
      <c r="C275" s="3"/>
      <c r="D275" s="10"/>
      <c r="E275" s="3"/>
      <c r="F275" s="3"/>
      <c r="G275" s="14"/>
      <c r="H275" s="26"/>
      <c r="I275" s="2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8"/>
      <c r="B276" s="3"/>
      <c r="C276" s="3"/>
      <c r="D276" s="10"/>
      <c r="E276" s="3"/>
      <c r="F276" s="3"/>
      <c r="G276" s="14"/>
      <c r="H276" s="26"/>
      <c r="I276" s="2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8"/>
      <c r="B277" s="3"/>
      <c r="C277" s="3"/>
      <c r="D277" s="10"/>
      <c r="E277" s="3"/>
      <c r="F277" s="3"/>
      <c r="G277" s="14"/>
      <c r="H277" s="26"/>
      <c r="I277" s="2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8"/>
      <c r="B278" s="3"/>
      <c r="C278" s="3"/>
      <c r="D278" s="10"/>
      <c r="E278" s="3"/>
      <c r="F278" s="3"/>
      <c r="G278" s="14"/>
      <c r="H278" s="26"/>
      <c r="I278" s="2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8"/>
      <c r="B279" s="3"/>
      <c r="C279" s="3"/>
      <c r="D279" s="10"/>
      <c r="E279" s="3"/>
      <c r="F279" s="3"/>
      <c r="G279" s="14"/>
      <c r="H279" s="26"/>
      <c r="I279" s="2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8"/>
      <c r="B280" s="3"/>
      <c r="C280" s="3"/>
      <c r="D280" s="10"/>
      <c r="E280" s="3"/>
      <c r="F280" s="3"/>
      <c r="G280" s="14"/>
      <c r="H280" s="26"/>
      <c r="I280" s="2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8"/>
      <c r="B281" s="3"/>
      <c r="C281" s="3"/>
      <c r="D281" s="10"/>
      <c r="E281" s="3"/>
      <c r="F281" s="3"/>
      <c r="G281" s="14"/>
      <c r="H281" s="26"/>
      <c r="I281" s="2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8"/>
      <c r="B282" s="3"/>
      <c r="C282" s="3"/>
      <c r="D282" s="10"/>
      <c r="E282" s="3"/>
      <c r="F282" s="3"/>
      <c r="G282" s="14"/>
      <c r="H282" s="26"/>
      <c r="I282" s="2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8"/>
      <c r="B283" s="3"/>
      <c r="C283" s="3"/>
      <c r="D283" s="10"/>
      <c r="E283" s="3"/>
      <c r="F283" s="3"/>
      <c r="G283" s="14"/>
      <c r="H283" s="26"/>
      <c r="I283" s="2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8"/>
      <c r="B284" s="3"/>
      <c r="C284" s="3"/>
      <c r="D284" s="10"/>
      <c r="E284" s="3"/>
      <c r="F284" s="3"/>
      <c r="G284" s="14"/>
      <c r="H284" s="26"/>
      <c r="I284" s="2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8"/>
      <c r="B285" s="3"/>
      <c r="C285" s="3"/>
      <c r="D285" s="10"/>
      <c r="E285" s="3"/>
      <c r="F285" s="3"/>
      <c r="G285" s="14"/>
      <c r="H285" s="26"/>
      <c r="I285" s="2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8"/>
      <c r="B286" s="3"/>
      <c r="C286" s="3"/>
      <c r="D286" s="10"/>
      <c r="E286" s="3"/>
      <c r="F286" s="3"/>
      <c r="G286" s="14"/>
      <c r="H286" s="26"/>
      <c r="I286" s="2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8"/>
      <c r="B287" s="3"/>
      <c r="C287" s="3"/>
      <c r="D287" s="10"/>
      <c r="E287" s="3"/>
      <c r="F287" s="3"/>
      <c r="G287" s="14"/>
      <c r="H287" s="26"/>
      <c r="I287" s="2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8"/>
      <c r="B288" s="3"/>
      <c r="C288" s="3"/>
      <c r="D288" s="10"/>
      <c r="E288" s="3"/>
      <c r="F288" s="3"/>
      <c r="G288" s="14"/>
      <c r="H288" s="26"/>
      <c r="I288" s="2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8"/>
      <c r="B289" s="3"/>
      <c r="C289" s="3"/>
      <c r="D289" s="10"/>
      <c r="E289" s="3"/>
      <c r="F289" s="3"/>
      <c r="G289" s="14"/>
      <c r="H289" s="26"/>
      <c r="I289" s="2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8"/>
      <c r="B290" s="3"/>
      <c r="C290" s="3"/>
      <c r="D290" s="10"/>
      <c r="E290" s="3"/>
      <c r="F290" s="3"/>
      <c r="G290" s="14"/>
      <c r="H290" s="26"/>
      <c r="I290" s="2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8"/>
      <c r="B291" s="3"/>
      <c r="C291" s="3"/>
      <c r="D291" s="10"/>
      <c r="E291" s="3"/>
      <c r="F291" s="3"/>
      <c r="G291" s="14"/>
      <c r="H291" s="26"/>
      <c r="I291" s="2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8"/>
      <c r="B292" s="3"/>
      <c r="C292" s="3"/>
      <c r="D292" s="10"/>
      <c r="E292" s="3"/>
      <c r="F292" s="3"/>
      <c r="G292" s="14"/>
      <c r="H292" s="26"/>
      <c r="I292" s="2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8"/>
      <c r="B293" s="3"/>
      <c r="C293" s="3"/>
      <c r="D293" s="10"/>
      <c r="E293" s="3"/>
      <c r="F293" s="3"/>
      <c r="G293" s="14"/>
      <c r="H293" s="26"/>
      <c r="I293" s="2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8"/>
      <c r="B294" s="3"/>
      <c r="C294" s="3"/>
      <c r="D294" s="10"/>
      <c r="E294" s="3"/>
      <c r="F294" s="3"/>
      <c r="G294" s="14"/>
      <c r="H294" s="26"/>
      <c r="I294" s="2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8"/>
      <c r="B295" s="3"/>
      <c r="C295" s="3"/>
      <c r="D295" s="10"/>
      <c r="E295" s="3"/>
      <c r="F295" s="3"/>
      <c r="G295" s="14"/>
      <c r="H295" s="26"/>
      <c r="I295" s="2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8"/>
      <c r="B296" s="3"/>
      <c r="C296" s="3"/>
      <c r="D296" s="10"/>
      <c r="E296" s="3"/>
      <c r="F296" s="3"/>
      <c r="G296" s="14"/>
      <c r="H296" s="26"/>
      <c r="I296" s="2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8"/>
      <c r="B297" s="3"/>
      <c r="C297" s="3"/>
      <c r="D297" s="10"/>
      <c r="E297" s="3"/>
      <c r="F297" s="3"/>
      <c r="G297" s="14"/>
      <c r="H297" s="26"/>
      <c r="I297" s="2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8"/>
      <c r="B298" s="3"/>
      <c r="C298" s="3"/>
      <c r="D298" s="10"/>
      <c r="E298" s="3"/>
      <c r="F298" s="3"/>
      <c r="G298" s="14"/>
      <c r="H298" s="26"/>
      <c r="I298" s="2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8"/>
      <c r="B299" s="3"/>
      <c r="C299" s="3"/>
      <c r="D299" s="10"/>
      <c r="E299" s="3"/>
      <c r="F299" s="3"/>
      <c r="G299" s="14"/>
      <c r="H299" s="26"/>
      <c r="I299" s="2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8"/>
      <c r="B300" s="3"/>
      <c r="C300" s="3"/>
      <c r="D300" s="10"/>
      <c r="E300" s="3"/>
      <c r="F300" s="3"/>
      <c r="G300" s="14"/>
      <c r="H300" s="26"/>
      <c r="I300" s="2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8"/>
      <c r="B301" s="3"/>
      <c r="C301" s="3"/>
      <c r="D301" s="10"/>
      <c r="E301" s="3"/>
      <c r="F301" s="3"/>
      <c r="G301" s="14"/>
      <c r="H301" s="26"/>
      <c r="I301" s="2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8"/>
      <c r="B302" s="3"/>
      <c r="C302" s="3"/>
      <c r="D302" s="10"/>
      <c r="E302" s="3"/>
      <c r="F302" s="3"/>
      <c r="G302" s="14"/>
      <c r="H302" s="26"/>
      <c r="I302" s="2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8"/>
      <c r="B303" s="3"/>
      <c r="C303" s="3"/>
      <c r="D303" s="10"/>
      <c r="E303" s="3"/>
      <c r="F303" s="3"/>
      <c r="G303" s="14"/>
      <c r="H303" s="26"/>
      <c r="I303" s="2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8"/>
      <c r="B304" s="3"/>
      <c r="C304" s="3"/>
      <c r="D304" s="10"/>
      <c r="E304" s="3"/>
      <c r="F304" s="3"/>
      <c r="G304" s="14"/>
      <c r="H304" s="26"/>
      <c r="I304" s="2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8"/>
      <c r="B305" s="3"/>
      <c r="C305" s="3"/>
      <c r="D305" s="10"/>
      <c r="E305" s="3"/>
      <c r="F305" s="3"/>
      <c r="G305" s="14"/>
      <c r="H305" s="26"/>
      <c r="I305" s="2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8"/>
      <c r="B306" s="3"/>
      <c r="C306" s="3"/>
      <c r="D306" s="10"/>
      <c r="E306" s="3"/>
      <c r="F306" s="3"/>
      <c r="G306" s="14"/>
      <c r="H306" s="26"/>
      <c r="I306" s="2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8"/>
      <c r="B307" s="3"/>
      <c r="C307" s="3"/>
      <c r="D307" s="10"/>
      <c r="E307" s="3"/>
      <c r="F307" s="3"/>
      <c r="G307" s="14"/>
      <c r="H307" s="26"/>
      <c r="I307" s="2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8"/>
      <c r="B308" s="3"/>
      <c r="C308" s="3"/>
      <c r="D308" s="10"/>
      <c r="E308" s="3"/>
      <c r="F308" s="3"/>
      <c r="G308" s="14"/>
      <c r="H308" s="26"/>
      <c r="I308" s="2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8"/>
      <c r="B309" s="3"/>
      <c r="C309" s="3"/>
      <c r="D309" s="10"/>
      <c r="E309" s="3"/>
      <c r="F309" s="3"/>
      <c r="G309" s="14"/>
      <c r="H309" s="26"/>
      <c r="I309" s="2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8"/>
      <c r="B310" s="3"/>
      <c r="C310" s="3"/>
      <c r="D310" s="10"/>
      <c r="E310" s="3"/>
      <c r="F310" s="3"/>
      <c r="G310" s="14"/>
      <c r="H310" s="26"/>
      <c r="I310" s="2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8"/>
      <c r="B311" s="3"/>
      <c r="C311" s="3"/>
      <c r="D311" s="10"/>
      <c r="E311" s="3"/>
      <c r="F311" s="3"/>
      <c r="G311" s="14"/>
      <c r="H311" s="26"/>
      <c r="I311" s="2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8"/>
      <c r="B312" s="3"/>
      <c r="C312" s="3"/>
      <c r="D312" s="10"/>
      <c r="E312" s="3"/>
      <c r="F312" s="3"/>
      <c r="G312" s="14"/>
      <c r="H312" s="26"/>
      <c r="I312" s="2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8"/>
      <c r="B313" s="3"/>
      <c r="C313" s="3"/>
      <c r="D313" s="10"/>
      <c r="E313" s="3"/>
      <c r="F313" s="3"/>
      <c r="G313" s="14"/>
      <c r="H313" s="26"/>
      <c r="I313" s="2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8"/>
      <c r="B314" s="3"/>
      <c r="C314" s="3"/>
      <c r="D314" s="10"/>
      <c r="E314" s="3"/>
      <c r="F314" s="3"/>
      <c r="G314" s="14"/>
      <c r="H314" s="26"/>
      <c r="I314" s="2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8"/>
      <c r="B315" s="3"/>
      <c r="C315" s="3"/>
      <c r="D315" s="10"/>
      <c r="E315" s="3"/>
      <c r="F315" s="3"/>
      <c r="G315" s="14"/>
      <c r="H315" s="26"/>
      <c r="I315" s="2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8"/>
      <c r="B316" s="3"/>
      <c r="C316" s="3"/>
      <c r="D316" s="10"/>
      <c r="E316" s="3"/>
      <c r="F316" s="3"/>
      <c r="G316" s="14"/>
      <c r="H316" s="26"/>
      <c r="I316" s="2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8"/>
      <c r="B317" s="3"/>
      <c r="C317" s="3"/>
      <c r="D317" s="10"/>
      <c r="E317" s="3"/>
      <c r="F317" s="3"/>
      <c r="G317" s="14"/>
      <c r="H317" s="26"/>
      <c r="I317" s="2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8"/>
      <c r="B318" s="3"/>
      <c r="C318" s="3"/>
      <c r="D318" s="10"/>
      <c r="E318" s="3"/>
      <c r="F318" s="3"/>
      <c r="G318" s="14"/>
      <c r="H318" s="26"/>
      <c r="I318" s="2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8"/>
      <c r="B319" s="3"/>
      <c r="C319" s="3"/>
      <c r="D319" s="10"/>
      <c r="E319" s="3"/>
      <c r="F319" s="3"/>
      <c r="G319" s="14"/>
      <c r="H319" s="26"/>
      <c r="I319" s="2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8"/>
      <c r="B320" s="3"/>
      <c r="C320" s="3"/>
      <c r="D320" s="10"/>
      <c r="E320" s="3"/>
      <c r="F320" s="3"/>
      <c r="G320" s="14"/>
      <c r="H320" s="26"/>
      <c r="I320" s="2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8"/>
      <c r="B321" s="3"/>
      <c r="C321" s="3"/>
      <c r="D321" s="10"/>
      <c r="E321" s="3"/>
      <c r="F321" s="3"/>
      <c r="G321" s="14"/>
      <c r="H321" s="26"/>
      <c r="I321" s="2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8"/>
      <c r="B322" s="3"/>
      <c r="C322" s="3"/>
      <c r="D322" s="10"/>
      <c r="E322" s="3"/>
      <c r="F322" s="3"/>
      <c r="G322" s="14"/>
      <c r="H322" s="26"/>
      <c r="I322" s="2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8"/>
      <c r="B323" s="3"/>
      <c r="C323" s="3"/>
      <c r="D323" s="10"/>
      <c r="E323" s="3"/>
      <c r="F323" s="3"/>
      <c r="G323" s="14"/>
      <c r="H323" s="26"/>
      <c r="I323" s="2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8"/>
      <c r="B324" s="3"/>
      <c r="C324" s="3"/>
      <c r="D324" s="10"/>
      <c r="E324" s="3"/>
      <c r="F324" s="3"/>
      <c r="G324" s="14"/>
      <c r="H324" s="26"/>
      <c r="I324" s="2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8"/>
      <c r="B325" s="3"/>
      <c r="C325" s="3"/>
      <c r="D325" s="10"/>
      <c r="E325" s="3"/>
      <c r="F325" s="3"/>
      <c r="G325" s="14"/>
      <c r="H325" s="26"/>
      <c r="I325" s="2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8"/>
      <c r="B326" s="3"/>
      <c r="C326" s="3"/>
      <c r="D326" s="10"/>
      <c r="E326" s="3"/>
      <c r="F326" s="3"/>
      <c r="G326" s="14"/>
      <c r="H326" s="26"/>
      <c r="I326" s="2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8"/>
      <c r="B327" s="3"/>
      <c r="C327" s="3"/>
      <c r="D327" s="10"/>
      <c r="E327" s="3"/>
      <c r="F327" s="3"/>
      <c r="G327" s="14"/>
      <c r="H327" s="26"/>
      <c r="I327" s="2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8"/>
      <c r="B328" s="3"/>
      <c r="C328" s="3"/>
      <c r="D328" s="10"/>
      <c r="E328" s="3"/>
      <c r="F328" s="3"/>
      <c r="G328" s="14"/>
      <c r="H328" s="26"/>
      <c r="I328" s="2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8"/>
      <c r="B329" s="3"/>
      <c r="C329" s="3"/>
      <c r="D329" s="10"/>
      <c r="E329" s="3"/>
      <c r="F329" s="3"/>
      <c r="G329" s="14"/>
      <c r="H329" s="26"/>
      <c r="I329" s="2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8"/>
      <c r="B330" s="3"/>
      <c r="C330" s="3"/>
      <c r="D330" s="10"/>
      <c r="E330" s="3"/>
      <c r="F330" s="3"/>
      <c r="G330" s="14"/>
      <c r="H330" s="26"/>
      <c r="I330" s="2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8"/>
      <c r="B331" s="3"/>
      <c r="C331" s="3"/>
      <c r="D331" s="10"/>
      <c r="E331" s="3"/>
      <c r="F331" s="3"/>
      <c r="G331" s="14"/>
      <c r="H331" s="26"/>
      <c r="I331" s="2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8"/>
      <c r="B332" s="3"/>
      <c r="C332" s="3"/>
      <c r="D332" s="10"/>
      <c r="E332" s="3"/>
      <c r="F332" s="3"/>
      <c r="G332" s="14"/>
      <c r="H332" s="26"/>
      <c r="I332" s="2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8"/>
      <c r="B333" s="3"/>
      <c r="C333" s="3"/>
      <c r="D333" s="10"/>
      <c r="E333" s="3"/>
      <c r="F333" s="3"/>
      <c r="G333" s="14"/>
      <c r="H333" s="26"/>
      <c r="I333" s="2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8"/>
      <c r="B334" s="3"/>
      <c r="C334" s="3"/>
      <c r="D334" s="10"/>
      <c r="E334" s="3"/>
      <c r="F334" s="3"/>
      <c r="G334" s="14"/>
      <c r="H334" s="26"/>
      <c r="I334" s="2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8"/>
      <c r="B335" s="3"/>
      <c r="C335" s="3"/>
      <c r="D335" s="10"/>
      <c r="E335" s="3"/>
      <c r="F335" s="3"/>
      <c r="G335" s="14"/>
      <c r="H335" s="26"/>
      <c r="I335" s="2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8"/>
      <c r="B336" s="3"/>
      <c r="C336" s="3"/>
      <c r="D336" s="10"/>
      <c r="E336" s="3"/>
      <c r="F336" s="3"/>
      <c r="G336" s="14"/>
      <c r="H336" s="26"/>
      <c r="I336" s="2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8"/>
      <c r="B337" s="3"/>
      <c r="C337" s="3"/>
      <c r="D337" s="10"/>
      <c r="E337" s="3"/>
      <c r="F337" s="3"/>
      <c r="G337" s="14"/>
      <c r="H337" s="26"/>
      <c r="I337" s="2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8"/>
      <c r="B338" s="3"/>
      <c r="C338" s="3"/>
      <c r="D338" s="10"/>
      <c r="E338" s="3"/>
      <c r="F338" s="3"/>
      <c r="G338" s="14"/>
      <c r="H338" s="26"/>
      <c r="I338" s="2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26"/>
      <c r="B339" s="3"/>
      <c r="C339" s="3"/>
      <c r="D339" s="10"/>
      <c r="E339" s="3"/>
      <c r="F339" s="3" t="str">
        <f>IFERROR(VLOOKUP(E339, [1]Hotels!$A:$B, 2, FALSE),"")</f>
        <v/>
      </c>
      <c r="G339" s="14"/>
      <c r="H339" s="26"/>
      <c r="I339" s="2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26"/>
      <c r="B340" s="3"/>
      <c r="C340" s="3"/>
      <c r="D340" s="10"/>
      <c r="E340" s="3"/>
      <c r="F340" s="3" t="str">
        <f>IFERROR(VLOOKUP(E340, [1]Hotels!$A:$B, 2, FALSE),"")</f>
        <v/>
      </c>
      <c r="G340" s="14"/>
      <c r="H340" s="26"/>
      <c r="I340" s="2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26"/>
      <c r="B341" s="3"/>
      <c r="C341" s="3"/>
      <c r="D341" s="10"/>
      <c r="E341" s="3"/>
      <c r="F341" s="3" t="str">
        <f>IFERROR(VLOOKUP(E341, [1]Hotels!$A:$B, 2, FALSE),"")</f>
        <v/>
      </c>
      <c r="G341" s="14"/>
      <c r="H341" s="26"/>
      <c r="I341" s="2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26"/>
      <c r="B342" s="3"/>
      <c r="C342" s="3"/>
      <c r="D342" s="10"/>
      <c r="E342" s="3"/>
      <c r="F342" s="3" t="str">
        <f>IFERROR(VLOOKUP(E342, [1]Hotels!$A:$B, 2, FALSE),"")</f>
        <v/>
      </c>
      <c r="G342" s="14"/>
      <c r="H342" s="26"/>
      <c r="I342" s="2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26"/>
      <c r="B343" s="3"/>
      <c r="C343" s="3"/>
      <c r="D343" s="10"/>
      <c r="E343" s="3"/>
      <c r="F343" s="3" t="str">
        <f>IFERROR(VLOOKUP(E343, [1]Hotels!$A:$B, 2, FALSE),"")</f>
        <v/>
      </c>
      <c r="G343" s="14"/>
      <c r="H343" s="26"/>
      <c r="I343" s="2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26"/>
      <c r="B344" s="3"/>
      <c r="C344" s="3"/>
      <c r="D344" s="10"/>
      <c r="E344" s="3"/>
      <c r="F344" s="3" t="str">
        <f>IFERROR(VLOOKUP(E344, [1]Hotels!$A:$B, 2, FALSE),"")</f>
        <v/>
      </c>
      <c r="G344" s="14"/>
      <c r="H344" s="26"/>
      <c r="I344" s="2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26"/>
      <c r="B345" s="3"/>
      <c r="C345" s="3"/>
      <c r="D345" s="10"/>
      <c r="E345" s="3"/>
      <c r="F345" s="3" t="str">
        <f>IFERROR(VLOOKUP(E345, [1]Hotels!$A:$B, 2, FALSE),"")</f>
        <v/>
      </c>
      <c r="G345" s="14"/>
      <c r="H345" s="26"/>
      <c r="I345" s="2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26"/>
      <c r="B346" s="3"/>
      <c r="C346" s="3"/>
      <c r="D346" s="10"/>
      <c r="E346" s="3"/>
      <c r="F346" s="3" t="str">
        <f>IFERROR(VLOOKUP(E346, [1]Hotels!$A:$B, 2, FALSE),"")</f>
        <v/>
      </c>
      <c r="G346" s="14"/>
      <c r="H346" s="26"/>
      <c r="I346" s="2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26"/>
      <c r="B347" s="3"/>
      <c r="C347" s="3"/>
      <c r="D347" s="10"/>
      <c r="E347" s="3"/>
      <c r="F347" s="3" t="str">
        <f>IFERROR(VLOOKUP(E347, [1]Hotels!$A:$B, 2, FALSE),"")</f>
        <v/>
      </c>
      <c r="G347" s="14"/>
      <c r="H347" s="26"/>
      <c r="I347" s="2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26"/>
      <c r="B348" s="3"/>
      <c r="C348" s="3"/>
      <c r="D348" s="10"/>
      <c r="E348" s="3"/>
      <c r="F348" s="3" t="str">
        <f>IFERROR(VLOOKUP(E348, [1]Hotels!$A:$B, 2, FALSE),"")</f>
        <v/>
      </c>
      <c r="G348" s="14"/>
      <c r="H348" s="26"/>
      <c r="I348" s="2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26"/>
      <c r="B349" s="3"/>
      <c r="C349" s="3"/>
      <c r="D349" s="10"/>
      <c r="E349" s="3"/>
      <c r="F349" s="3" t="str">
        <f>IFERROR(VLOOKUP(E349, [1]Hotels!$A:$B, 2, FALSE),"")</f>
        <v/>
      </c>
      <c r="G349" s="14"/>
      <c r="H349" s="26"/>
      <c r="I349" s="2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26"/>
      <c r="B350" s="3"/>
      <c r="C350" s="3"/>
      <c r="D350" s="10"/>
      <c r="E350" s="3"/>
      <c r="F350" s="3" t="str">
        <f>IFERROR(VLOOKUP(E350, [1]Hotels!$A:$B, 2, FALSE),"")</f>
        <v/>
      </c>
      <c r="G350" s="14"/>
      <c r="H350" s="26"/>
      <c r="I350" s="2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26"/>
      <c r="B351" s="3"/>
      <c r="C351" s="3"/>
      <c r="D351" s="10"/>
      <c r="E351" s="3"/>
      <c r="F351" s="3" t="str">
        <f>IFERROR(VLOOKUP(E351, [1]Hotels!$A:$B, 2, FALSE),"")</f>
        <v/>
      </c>
      <c r="G351" s="14"/>
      <c r="H351" s="26"/>
      <c r="I351" s="2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26"/>
      <c r="B352" s="3"/>
      <c r="C352" s="3"/>
      <c r="D352" s="10"/>
      <c r="E352" s="3"/>
      <c r="F352" s="3" t="str">
        <f>IFERROR(VLOOKUP(E352, [1]Hotels!$A:$B, 2, FALSE),"")</f>
        <v/>
      </c>
      <c r="G352" s="14"/>
      <c r="H352" s="26"/>
      <c r="I352" s="2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26"/>
      <c r="B353" s="3"/>
      <c r="C353" s="3"/>
      <c r="D353" s="10"/>
      <c r="E353" s="3"/>
      <c r="F353" s="3" t="str">
        <f>IFERROR(VLOOKUP(E353, [1]Hotels!$A:$B, 2, FALSE),"")</f>
        <v/>
      </c>
      <c r="G353" s="14"/>
      <c r="H353" s="26"/>
      <c r="I353" s="2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26"/>
      <c r="B354" s="3"/>
      <c r="C354" s="3"/>
      <c r="D354" s="10"/>
      <c r="E354" s="3"/>
      <c r="F354" s="3" t="str">
        <f>IFERROR(VLOOKUP(E354, [1]Hotels!$A:$B, 2, FALSE),"")</f>
        <v/>
      </c>
      <c r="G354" s="14"/>
      <c r="H354" s="26"/>
      <c r="I354" s="2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26"/>
      <c r="B355" s="3"/>
      <c r="C355" s="3"/>
      <c r="D355" s="10"/>
      <c r="E355" s="3"/>
      <c r="F355" s="3" t="str">
        <f>IFERROR(VLOOKUP(E355, [1]Hotels!$A:$B, 2, FALSE),"")</f>
        <v/>
      </c>
      <c r="G355" s="14"/>
      <c r="H355" s="26"/>
      <c r="I355" s="2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26"/>
      <c r="B356" s="3"/>
      <c r="C356" s="3"/>
      <c r="D356" s="10"/>
      <c r="E356" s="3"/>
      <c r="F356" s="3" t="str">
        <f>IFERROR(VLOOKUP(E356, [1]Hotels!$A:$B, 2, FALSE),"")</f>
        <v/>
      </c>
      <c r="G356" s="14"/>
      <c r="H356" s="26"/>
      <c r="I356" s="2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26"/>
      <c r="B357" s="3"/>
      <c r="C357" s="3"/>
      <c r="D357" s="10"/>
      <c r="E357" s="3"/>
      <c r="F357" s="3" t="str">
        <f>IFERROR(VLOOKUP(E357, [1]Hotels!$A:$B, 2, FALSE),"")</f>
        <v/>
      </c>
      <c r="G357" s="14"/>
      <c r="H357" s="26"/>
      <c r="I357" s="2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26"/>
      <c r="B358" s="3"/>
      <c r="C358" s="3"/>
      <c r="D358" s="10"/>
      <c r="E358" s="3"/>
      <c r="F358" s="3" t="str">
        <f>IFERROR(VLOOKUP(E358, [1]Hotels!$A:$B, 2, FALSE),"")</f>
        <v/>
      </c>
      <c r="G358" s="14"/>
      <c r="H358" s="26"/>
      <c r="I358" s="2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26"/>
      <c r="B359" s="3"/>
      <c r="C359" s="3"/>
      <c r="D359" s="10"/>
      <c r="E359" s="3"/>
      <c r="F359" s="3" t="str">
        <f>IFERROR(VLOOKUP(E359, [1]Hotels!$A:$B, 2, FALSE),"")</f>
        <v/>
      </c>
      <c r="G359" s="14"/>
      <c r="H359" s="26"/>
      <c r="I359" s="2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26"/>
      <c r="B360" s="3"/>
      <c r="C360" s="3"/>
      <c r="D360" s="10"/>
      <c r="E360" s="3"/>
      <c r="F360" s="3" t="str">
        <f>IFERROR(VLOOKUP(E360, [1]Hotels!$A:$B, 2, FALSE),"")</f>
        <v/>
      </c>
      <c r="G360" s="14"/>
      <c r="H360" s="26"/>
      <c r="I360" s="2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26"/>
      <c r="B361" s="3"/>
      <c r="C361" s="3"/>
      <c r="D361" s="10"/>
      <c r="E361" s="3"/>
      <c r="F361" s="3" t="str">
        <f>IFERROR(VLOOKUP(E361, [1]Hotels!$A:$B, 2, FALSE),"")</f>
        <v/>
      </c>
      <c r="G361" s="14"/>
      <c r="H361" s="26"/>
      <c r="I361" s="2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26"/>
      <c r="B362" s="3"/>
      <c r="C362" s="3"/>
      <c r="D362" s="10"/>
      <c r="E362" s="3"/>
      <c r="F362" s="3" t="str">
        <f>IFERROR(VLOOKUP(E362, [1]Hotels!$A:$B, 2, FALSE),"")</f>
        <v/>
      </c>
      <c r="G362" s="14"/>
      <c r="H362" s="26"/>
      <c r="I362" s="2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26"/>
      <c r="B363" s="3"/>
      <c r="C363" s="3"/>
      <c r="D363" s="10"/>
      <c r="E363" s="3"/>
      <c r="F363" s="3" t="str">
        <f>IFERROR(VLOOKUP(E363, [1]Hotels!$A:$B, 2, FALSE),"")</f>
        <v/>
      </c>
      <c r="G363" s="14"/>
      <c r="H363" s="26"/>
      <c r="I363" s="2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26"/>
      <c r="B364" s="3"/>
      <c r="C364" s="3"/>
      <c r="D364" s="10"/>
      <c r="E364" s="3"/>
      <c r="F364" s="3" t="str">
        <f>IFERROR(VLOOKUP(E364, [1]Hotels!$A:$B, 2, FALSE),"")</f>
        <v/>
      </c>
      <c r="G364" s="14"/>
      <c r="H364" s="26"/>
      <c r="I364" s="2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26"/>
      <c r="B365" s="3"/>
      <c r="C365" s="3"/>
      <c r="D365" s="10"/>
      <c r="E365" s="3"/>
      <c r="F365" s="3" t="str">
        <f>IFERROR(VLOOKUP(E365, [1]Hotels!$A:$B, 2, FALSE),"")</f>
        <v/>
      </c>
      <c r="G365" s="14"/>
      <c r="H365" s="26"/>
      <c r="I365" s="2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26"/>
      <c r="B366" s="3"/>
      <c r="C366" s="3"/>
      <c r="D366" s="10"/>
      <c r="E366" s="3"/>
      <c r="F366" s="3" t="str">
        <f>IFERROR(VLOOKUP(E366, [1]Hotels!$A:$B, 2, FALSE),"")</f>
        <v/>
      </c>
      <c r="G366" s="14"/>
      <c r="H366" s="26"/>
      <c r="I366" s="2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26"/>
      <c r="B367" s="3"/>
      <c r="C367" s="3"/>
      <c r="D367" s="10"/>
      <c r="E367" s="3"/>
      <c r="F367" s="3" t="str">
        <f>IFERROR(VLOOKUP(E367, [1]Hotels!$A:$B, 2, FALSE),"")</f>
        <v/>
      </c>
      <c r="G367" s="14"/>
      <c r="H367" s="26"/>
      <c r="I367" s="2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26"/>
      <c r="B368" s="3"/>
      <c r="C368" s="3"/>
      <c r="D368" s="10"/>
      <c r="E368" s="3"/>
      <c r="F368" s="3" t="str">
        <f>IFERROR(VLOOKUP(E368, [1]Hotels!$A:$B, 2, FALSE),"")</f>
        <v/>
      </c>
      <c r="G368" s="14"/>
      <c r="H368" s="26"/>
      <c r="I368" s="2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26"/>
      <c r="B369" s="3"/>
      <c r="C369" s="3"/>
      <c r="D369" s="10"/>
      <c r="E369" s="3"/>
      <c r="F369" s="3" t="str">
        <f>IFERROR(VLOOKUP(E369, [1]Hotels!$A:$B, 2, FALSE),"")</f>
        <v/>
      </c>
      <c r="G369" s="14"/>
      <c r="H369" s="26"/>
      <c r="I369" s="2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26"/>
      <c r="B370" s="3"/>
      <c r="C370" s="3"/>
      <c r="D370" s="10"/>
      <c r="E370" s="3"/>
      <c r="F370" s="3" t="str">
        <f>IFERROR(VLOOKUP(E370, [1]Hotels!$A:$B, 2, FALSE),"")</f>
        <v/>
      </c>
      <c r="G370" s="14"/>
      <c r="H370" s="26"/>
      <c r="I370" s="2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26"/>
      <c r="B371" s="3"/>
      <c r="C371" s="3"/>
      <c r="D371" s="10"/>
      <c r="E371" s="3"/>
      <c r="F371" s="3" t="str">
        <f>IFERROR(VLOOKUP(E371, [1]Hotels!$A:$B, 2, FALSE),"")</f>
        <v/>
      </c>
      <c r="G371" s="14"/>
      <c r="H371" s="26"/>
      <c r="I371" s="2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26"/>
      <c r="B372" s="3"/>
      <c r="C372" s="3"/>
      <c r="D372" s="10"/>
      <c r="E372" s="3"/>
      <c r="F372" s="3" t="str">
        <f>IFERROR(VLOOKUP(E372, [1]Hotels!$A:$B, 2, FALSE),"")</f>
        <v/>
      </c>
      <c r="G372" s="14"/>
      <c r="H372" s="26"/>
      <c r="I372" s="2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26"/>
      <c r="B373" s="3"/>
      <c r="C373" s="3"/>
      <c r="D373" s="10"/>
      <c r="E373" s="3"/>
      <c r="F373" s="3" t="str">
        <f>IFERROR(VLOOKUP(E373, [1]Hotels!$A:$B, 2, FALSE),"")</f>
        <v/>
      </c>
      <c r="G373" s="14"/>
      <c r="H373" s="26"/>
      <c r="I373" s="2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26"/>
      <c r="B374" s="3"/>
      <c r="C374" s="3"/>
      <c r="D374" s="10"/>
      <c r="E374" s="3"/>
      <c r="F374" s="3" t="str">
        <f>IFERROR(VLOOKUP(E374, [1]Hotels!$A:$B, 2, FALSE),"")</f>
        <v/>
      </c>
      <c r="G374" s="14"/>
      <c r="H374" s="26"/>
      <c r="I374" s="2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26"/>
      <c r="B375" s="3"/>
      <c r="C375" s="3"/>
      <c r="D375" s="10"/>
      <c r="E375" s="3"/>
      <c r="F375" s="3" t="str">
        <f>IFERROR(VLOOKUP(E375, [1]Hotels!$A:$B, 2, FALSE),"")</f>
        <v/>
      </c>
      <c r="G375" s="14"/>
      <c r="H375" s="26"/>
      <c r="I375" s="2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26"/>
      <c r="B376" s="3"/>
      <c r="C376" s="3"/>
      <c r="D376" s="10"/>
      <c r="E376" s="3"/>
      <c r="F376" s="3" t="str">
        <f>IFERROR(VLOOKUP(E376, [1]Hotels!$A:$B, 2, FALSE),"")</f>
        <v/>
      </c>
      <c r="G376" s="14"/>
      <c r="H376" s="26"/>
      <c r="I376" s="2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26"/>
      <c r="B377" s="3"/>
      <c r="C377" s="3"/>
      <c r="D377" s="10"/>
      <c r="E377" s="3"/>
      <c r="F377" s="3" t="str">
        <f>IFERROR(VLOOKUP(E377, [1]Hotels!$A:$B, 2, FALSE),"")</f>
        <v/>
      </c>
      <c r="G377" s="14"/>
      <c r="H377" s="26"/>
      <c r="I377" s="2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26"/>
      <c r="B378" s="3"/>
      <c r="C378" s="3"/>
      <c r="D378" s="10"/>
      <c r="E378" s="3"/>
      <c r="F378" s="3" t="str">
        <f>IFERROR(VLOOKUP(E378, [1]Hotels!$A:$B, 2, FALSE),"")</f>
        <v/>
      </c>
      <c r="G378" s="14"/>
      <c r="H378" s="26"/>
      <c r="I378" s="2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26"/>
      <c r="B379" s="3"/>
      <c r="C379" s="3"/>
      <c r="D379" s="10"/>
      <c r="E379" s="3"/>
      <c r="F379" s="3" t="str">
        <f>IFERROR(VLOOKUP(E379, [1]Hotels!$A:$B, 2, FALSE),"")</f>
        <v/>
      </c>
      <c r="G379" s="14"/>
      <c r="H379" s="26"/>
      <c r="I379" s="2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26"/>
      <c r="B380" s="3"/>
      <c r="C380" s="3"/>
      <c r="D380" s="10"/>
      <c r="E380" s="3"/>
      <c r="F380" s="3" t="str">
        <f>IFERROR(VLOOKUP(E380, [1]Hotels!$A:$B, 2, FALSE),"")</f>
        <v/>
      </c>
      <c r="G380" s="14"/>
      <c r="H380" s="26"/>
      <c r="I380" s="2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26"/>
      <c r="B381" s="3"/>
      <c r="C381" s="3"/>
      <c r="D381" s="10"/>
      <c r="E381" s="3"/>
      <c r="F381" s="3" t="str">
        <f>IFERROR(VLOOKUP(E381, [1]Hotels!$A:$B, 2, FALSE),"")</f>
        <v/>
      </c>
      <c r="G381" s="14"/>
      <c r="H381" s="26"/>
      <c r="I381" s="2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26"/>
      <c r="B382" s="3"/>
      <c r="C382" s="3"/>
      <c r="D382" s="10"/>
      <c r="E382" s="3"/>
      <c r="F382" s="3" t="str">
        <f>IFERROR(VLOOKUP(E382, [1]Hotels!$A:$B, 2, FALSE),"")</f>
        <v/>
      </c>
      <c r="G382" s="14"/>
      <c r="H382" s="26"/>
      <c r="I382" s="2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26"/>
      <c r="B383" s="3"/>
      <c r="C383" s="3"/>
      <c r="D383" s="10"/>
      <c r="E383" s="3"/>
      <c r="F383" s="3" t="str">
        <f>IFERROR(VLOOKUP(E383, [1]Hotels!$A:$B, 2, FALSE),"")</f>
        <v/>
      </c>
      <c r="G383" s="14"/>
      <c r="H383" s="26"/>
      <c r="I383" s="2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26"/>
      <c r="B384" s="3"/>
      <c r="C384" s="3"/>
      <c r="D384" s="10"/>
      <c r="E384" s="3"/>
      <c r="F384" s="3" t="str">
        <f>IFERROR(VLOOKUP(E384, [1]Hotels!$A:$B, 2, FALSE),"")</f>
        <v/>
      </c>
      <c r="G384" s="14"/>
      <c r="H384" s="26"/>
      <c r="I384" s="2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26"/>
      <c r="B385" s="3"/>
      <c r="C385" s="3"/>
      <c r="D385" s="10"/>
      <c r="E385" s="3"/>
      <c r="F385" s="3" t="str">
        <f>IFERROR(VLOOKUP(E385, [1]Hotels!$A:$B, 2, FALSE),"")</f>
        <v/>
      </c>
      <c r="G385" s="14"/>
      <c r="H385" s="26"/>
      <c r="I385" s="2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26"/>
      <c r="B386" s="3"/>
      <c r="C386" s="3"/>
      <c r="D386" s="10"/>
      <c r="E386" s="3"/>
      <c r="F386" s="3" t="str">
        <f>IFERROR(VLOOKUP(E386, [1]Hotels!$A:$B, 2, FALSE),"")</f>
        <v/>
      </c>
      <c r="G386" s="14"/>
      <c r="H386" s="26"/>
      <c r="I386" s="2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26"/>
      <c r="B387" s="3"/>
      <c r="C387" s="3"/>
      <c r="D387" s="10"/>
      <c r="E387" s="3"/>
      <c r="F387" s="3" t="str">
        <f>IFERROR(VLOOKUP(E387, [1]Hotels!$A:$B, 2, FALSE),"")</f>
        <v/>
      </c>
      <c r="G387" s="14"/>
      <c r="H387" s="26"/>
      <c r="I387" s="2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26"/>
      <c r="B388" s="3"/>
      <c r="C388" s="3"/>
      <c r="D388" s="10"/>
      <c r="E388" s="3"/>
      <c r="F388" s="3" t="str">
        <f>IFERROR(VLOOKUP(E388, [1]Hotels!$A:$B, 2, FALSE),"")</f>
        <v/>
      </c>
      <c r="G388" s="14"/>
      <c r="H388" s="26"/>
      <c r="I388" s="2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26"/>
      <c r="B389" s="3"/>
      <c r="C389" s="3"/>
      <c r="D389" s="10"/>
      <c r="E389" s="3"/>
      <c r="F389" s="3" t="str">
        <f>IFERROR(VLOOKUP(E389, [1]Hotels!$A:$B, 2, FALSE),"")</f>
        <v/>
      </c>
      <c r="G389" s="14"/>
      <c r="H389" s="26"/>
      <c r="I389" s="2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26"/>
      <c r="B390" s="3"/>
      <c r="C390" s="3"/>
      <c r="D390" s="10"/>
      <c r="E390" s="3"/>
      <c r="F390" s="3" t="str">
        <f>IFERROR(VLOOKUP(E390, [1]Hotels!$A:$B, 2, FALSE),"")</f>
        <v/>
      </c>
      <c r="G390" s="14"/>
      <c r="H390" s="26"/>
      <c r="I390" s="2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26"/>
      <c r="B391" s="3"/>
      <c r="C391" s="3"/>
      <c r="D391" s="10"/>
      <c r="E391" s="3"/>
      <c r="F391" s="3" t="str">
        <f>IFERROR(VLOOKUP(E391, [1]Hotels!$A:$B, 2, FALSE),"")</f>
        <v/>
      </c>
      <c r="G391" s="14"/>
      <c r="H391" s="26"/>
      <c r="I391" s="2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26"/>
      <c r="B392" s="3"/>
      <c r="C392" s="3"/>
      <c r="D392" s="10"/>
      <c r="E392" s="3"/>
      <c r="F392" s="3" t="str">
        <f>IFERROR(VLOOKUP(E392, [1]Hotels!$A:$B, 2, FALSE),"")</f>
        <v/>
      </c>
      <c r="G392" s="14"/>
      <c r="H392" s="26"/>
      <c r="I392" s="2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26"/>
      <c r="B393" s="3"/>
      <c r="C393" s="3"/>
      <c r="D393" s="10"/>
      <c r="E393" s="3"/>
      <c r="F393" s="3" t="str">
        <f>IFERROR(VLOOKUP(E393, [1]Hotels!$A:$B, 2, FALSE),"")</f>
        <v/>
      </c>
      <c r="G393" s="14"/>
      <c r="H393" s="26"/>
      <c r="I393" s="2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26"/>
      <c r="B394" s="3"/>
      <c r="C394" s="3"/>
      <c r="D394" s="10"/>
      <c r="E394" s="3"/>
      <c r="F394" s="3" t="str">
        <f>IFERROR(VLOOKUP(E394, [1]Hotels!$A:$B, 2, FALSE),"")</f>
        <v/>
      </c>
      <c r="G394" s="14"/>
      <c r="H394" s="26"/>
      <c r="I394" s="2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26"/>
      <c r="B395" s="3"/>
      <c r="C395" s="3"/>
      <c r="D395" s="10"/>
      <c r="E395" s="3"/>
      <c r="F395" s="3" t="str">
        <f>IFERROR(VLOOKUP(E395, [1]Hotels!$A:$B, 2, FALSE),"")</f>
        <v/>
      </c>
      <c r="G395" s="14"/>
      <c r="H395" s="26"/>
      <c r="I395" s="2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26"/>
      <c r="B396" s="3"/>
      <c r="C396" s="3"/>
      <c r="D396" s="10"/>
      <c r="E396" s="3"/>
      <c r="F396" s="3" t="str">
        <f>IFERROR(VLOOKUP(E396, [1]Hotels!$A:$B, 2, FALSE),"")</f>
        <v/>
      </c>
      <c r="G396" s="14"/>
      <c r="H396" s="26"/>
      <c r="I396" s="2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26"/>
      <c r="B397" s="3"/>
      <c r="C397" s="3"/>
      <c r="D397" s="10"/>
      <c r="E397" s="3"/>
      <c r="F397" s="3" t="str">
        <f>IFERROR(VLOOKUP(E397, [1]Hotels!$A:$B, 2, FALSE),"")</f>
        <v/>
      </c>
      <c r="G397" s="14"/>
      <c r="H397" s="26"/>
      <c r="I397" s="2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26"/>
      <c r="B398" s="3"/>
      <c r="C398" s="3"/>
      <c r="D398" s="10"/>
      <c r="E398" s="3"/>
      <c r="F398" s="3" t="str">
        <f>IFERROR(VLOOKUP(E398, [1]Hotels!$A:$B, 2, FALSE),"")</f>
        <v/>
      </c>
      <c r="G398" s="14"/>
      <c r="H398" s="26"/>
      <c r="I398" s="2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26"/>
      <c r="B399" s="3"/>
      <c r="C399" s="3"/>
      <c r="D399" s="10"/>
      <c r="E399" s="3"/>
      <c r="F399" s="3" t="str">
        <f>IFERROR(VLOOKUP(E399, [1]Hotels!$A:$B, 2, FALSE),"")</f>
        <v/>
      </c>
      <c r="G399" s="14"/>
      <c r="H399" s="26"/>
      <c r="I399" s="2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26"/>
      <c r="B400" s="3"/>
      <c r="C400" s="3"/>
      <c r="D400" s="10"/>
      <c r="E400" s="3"/>
      <c r="F400" s="3" t="str">
        <f>IFERROR(VLOOKUP(E400, [1]Hotels!$A:$B, 2, FALSE),"")</f>
        <v/>
      </c>
      <c r="G400" s="14"/>
      <c r="H400" s="26"/>
      <c r="I400" s="2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26"/>
      <c r="B401" s="3"/>
      <c r="C401" s="3"/>
      <c r="D401" s="10"/>
      <c r="E401" s="3"/>
      <c r="F401" s="3" t="str">
        <f>IFERROR(VLOOKUP(E401, [1]Hotels!$A:$B, 2, FALSE),"")</f>
        <v/>
      </c>
      <c r="G401" s="14"/>
      <c r="H401" s="26"/>
      <c r="I401" s="2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26"/>
      <c r="B402" s="3"/>
      <c r="C402" s="3"/>
      <c r="D402" s="10"/>
      <c r="E402" s="3"/>
      <c r="F402" s="3" t="str">
        <f>IFERROR(VLOOKUP(E402, [1]Hotels!$A:$B, 2, FALSE),"")</f>
        <v/>
      </c>
      <c r="G402" s="14"/>
      <c r="H402" s="26"/>
      <c r="I402" s="2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26"/>
      <c r="B403" s="3"/>
      <c r="C403" s="3"/>
      <c r="D403" s="10"/>
      <c r="E403" s="3"/>
      <c r="F403" s="3" t="str">
        <f>IFERROR(VLOOKUP(E403, [1]Hotels!$A:$B, 2, FALSE),"")</f>
        <v/>
      </c>
      <c r="G403" s="14"/>
      <c r="H403" s="26"/>
      <c r="I403" s="2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26"/>
      <c r="B404" s="3"/>
      <c r="C404" s="3"/>
      <c r="D404" s="10"/>
      <c r="E404" s="3"/>
      <c r="F404" s="3" t="str">
        <f>IFERROR(VLOOKUP(E404, [1]Hotels!$A:$B, 2, FALSE),"")</f>
        <v/>
      </c>
      <c r="G404" s="14"/>
      <c r="H404" s="26"/>
      <c r="I404" s="2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26"/>
      <c r="B405" s="3"/>
      <c r="C405" s="3"/>
      <c r="D405" s="10"/>
      <c r="E405" s="3"/>
      <c r="F405" s="3" t="str">
        <f>IFERROR(VLOOKUP(E405, [1]Hotels!$A:$B, 2, FALSE),"")</f>
        <v/>
      </c>
      <c r="G405" s="14"/>
      <c r="H405" s="26"/>
      <c r="I405" s="2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26"/>
      <c r="B406" s="3"/>
      <c r="C406" s="3"/>
      <c r="D406" s="10"/>
      <c r="E406" s="3"/>
      <c r="F406" s="3" t="str">
        <f>IFERROR(VLOOKUP(E406, [1]Hotels!$A:$B, 2, FALSE),"")</f>
        <v/>
      </c>
      <c r="G406" s="14"/>
      <c r="H406" s="26"/>
      <c r="I406" s="2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26"/>
      <c r="B407" s="3"/>
      <c r="C407" s="3"/>
      <c r="D407" s="10"/>
      <c r="E407" s="3"/>
      <c r="F407" s="3" t="str">
        <f>IFERROR(VLOOKUP(E407, [1]Hotels!$A:$B, 2, FALSE),"")</f>
        <v/>
      </c>
      <c r="G407" s="14"/>
      <c r="H407" s="26"/>
      <c r="I407" s="2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26"/>
      <c r="B408" s="3"/>
      <c r="C408" s="3"/>
      <c r="D408" s="10"/>
      <c r="E408" s="3"/>
      <c r="F408" s="3" t="str">
        <f>IFERROR(VLOOKUP(E408, [1]Hotels!$A:$B, 2, FALSE),"")</f>
        <v/>
      </c>
      <c r="G408" s="14"/>
      <c r="H408" s="26"/>
      <c r="I408" s="2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26"/>
      <c r="B409" s="3"/>
      <c r="C409" s="3"/>
      <c r="D409" s="10"/>
      <c r="E409" s="3"/>
      <c r="F409" s="3" t="str">
        <f>IFERROR(VLOOKUP(E409, [1]Hotels!$A:$B, 2, FALSE),"")</f>
        <v/>
      </c>
      <c r="G409" s="14"/>
      <c r="H409" s="26"/>
      <c r="I409" s="2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26"/>
      <c r="B410" s="3"/>
      <c r="C410" s="3"/>
      <c r="D410" s="10"/>
      <c r="E410" s="3"/>
      <c r="F410" s="3" t="str">
        <f>IFERROR(VLOOKUP(E410, [1]Hotels!$A:$B, 2, FALSE),"")</f>
        <v/>
      </c>
      <c r="G410" s="14"/>
      <c r="H410" s="26"/>
      <c r="I410" s="2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26"/>
      <c r="B411" s="3"/>
      <c r="C411" s="3"/>
      <c r="D411" s="10"/>
      <c r="E411" s="3"/>
      <c r="F411" s="3" t="str">
        <f>IFERROR(VLOOKUP(E411, [1]Hotels!$A:$B, 2, FALSE),"")</f>
        <v/>
      </c>
      <c r="G411" s="14"/>
      <c r="H411" s="26"/>
      <c r="I411" s="2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26"/>
      <c r="B412" s="3"/>
      <c r="C412" s="3"/>
      <c r="D412" s="10"/>
      <c r="E412" s="3"/>
      <c r="F412" s="3" t="str">
        <f>IFERROR(VLOOKUP(E412, [1]Hotels!$A:$B, 2, FALSE),"")</f>
        <v/>
      </c>
      <c r="G412" s="14"/>
      <c r="H412" s="26"/>
      <c r="I412" s="2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26"/>
      <c r="B413" s="3"/>
      <c r="C413" s="3"/>
      <c r="D413" s="10"/>
      <c r="E413" s="3"/>
      <c r="F413" s="3" t="str">
        <f>IFERROR(VLOOKUP(E413, [1]Hotels!$A:$B, 2, FALSE),"")</f>
        <v/>
      </c>
      <c r="G413" s="14"/>
      <c r="H413" s="26"/>
      <c r="I413" s="2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26"/>
      <c r="B414" s="3"/>
      <c r="C414" s="3"/>
      <c r="D414" s="10"/>
      <c r="E414" s="3"/>
      <c r="F414" s="3" t="str">
        <f>IFERROR(VLOOKUP(E414, [1]Hotels!$A:$B, 2, FALSE),"")</f>
        <v/>
      </c>
      <c r="G414" s="14"/>
      <c r="H414" s="26"/>
      <c r="I414" s="2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26"/>
      <c r="B415" s="3"/>
      <c r="C415" s="3"/>
      <c r="D415" s="10"/>
      <c r="E415" s="3"/>
      <c r="F415" s="3" t="str">
        <f>IFERROR(VLOOKUP(E415, [1]Hotels!$A:$B, 2, FALSE),"")</f>
        <v/>
      </c>
      <c r="G415" s="14"/>
      <c r="H415" s="26"/>
      <c r="I415" s="2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26"/>
      <c r="B416" s="3"/>
      <c r="C416" s="3"/>
      <c r="D416" s="10"/>
      <c r="E416" s="3"/>
      <c r="F416" s="3" t="str">
        <f>IFERROR(VLOOKUP(E416, [1]Hotels!$A:$B, 2, FALSE),"")</f>
        <v/>
      </c>
      <c r="G416" s="14"/>
      <c r="H416" s="26"/>
      <c r="I416" s="2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26"/>
      <c r="B417" s="3"/>
      <c r="C417" s="3"/>
      <c r="D417" s="10"/>
      <c r="E417" s="3"/>
      <c r="F417" s="3" t="str">
        <f>IFERROR(VLOOKUP(E417, [1]Hotels!$A:$B, 2, FALSE),"")</f>
        <v/>
      </c>
      <c r="G417" s="14"/>
      <c r="H417" s="26"/>
      <c r="I417" s="2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26"/>
      <c r="B418" s="3"/>
      <c r="C418" s="3"/>
      <c r="D418" s="10"/>
      <c r="E418" s="3"/>
      <c r="F418" s="3" t="str">
        <f>IFERROR(VLOOKUP(E418, [1]Hotels!$A:$B, 2, FALSE),"")</f>
        <v/>
      </c>
      <c r="G418" s="14"/>
      <c r="H418" s="26"/>
      <c r="I418" s="2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26"/>
      <c r="B419" s="3"/>
      <c r="C419" s="3"/>
      <c r="D419" s="10"/>
      <c r="E419" s="3"/>
      <c r="F419" s="3" t="str">
        <f>IFERROR(VLOOKUP(E419, [1]Hotels!$A:$B, 2, FALSE),"")</f>
        <v/>
      </c>
      <c r="G419" s="14"/>
      <c r="H419" s="26"/>
      <c r="I419" s="2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26"/>
      <c r="B420" s="3"/>
      <c r="C420" s="3"/>
      <c r="D420" s="10"/>
      <c r="E420" s="3"/>
      <c r="F420" s="3" t="str">
        <f>IFERROR(VLOOKUP(E420, [1]Hotels!$A:$B, 2, FALSE),"")</f>
        <v/>
      </c>
      <c r="G420" s="14"/>
      <c r="H420" s="26"/>
      <c r="I420" s="2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26"/>
      <c r="B421" s="3"/>
      <c r="C421" s="3"/>
      <c r="D421" s="10"/>
      <c r="E421" s="3"/>
      <c r="F421" s="3" t="str">
        <f>IFERROR(VLOOKUP(E421, [1]Hotels!$A:$B, 2, FALSE),"")</f>
        <v/>
      </c>
      <c r="G421" s="14"/>
      <c r="H421" s="26"/>
      <c r="I421" s="2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26"/>
      <c r="B422" s="3"/>
      <c r="C422" s="3"/>
      <c r="D422" s="10"/>
      <c r="E422" s="3"/>
      <c r="F422" s="3" t="str">
        <f>IFERROR(VLOOKUP(E422, [1]Hotels!$A:$B, 2, FALSE),"")</f>
        <v/>
      </c>
      <c r="G422" s="14"/>
      <c r="H422" s="26"/>
      <c r="I422" s="2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26"/>
      <c r="B423" s="3"/>
      <c r="C423" s="3"/>
      <c r="D423" s="10"/>
      <c r="E423" s="3"/>
      <c r="F423" s="3" t="str">
        <f>IFERROR(VLOOKUP(E423, [1]Hotels!$A:$B, 2, FALSE),"")</f>
        <v/>
      </c>
      <c r="G423" s="14"/>
      <c r="H423" s="26"/>
      <c r="I423" s="2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26"/>
      <c r="B424" s="3"/>
      <c r="C424" s="3"/>
      <c r="D424" s="10"/>
      <c r="E424" s="3"/>
      <c r="F424" s="3" t="str">
        <f>IFERROR(VLOOKUP(E424, [1]Hotels!$A:$B, 2, FALSE),"")</f>
        <v/>
      </c>
      <c r="G424" s="14"/>
      <c r="H424" s="26"/>
      <c r="I424" s="2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26"/>
      <c r="B425" s="3"/>
      <c r="C425" s="3"/>
      <c r="D425" s="10"/>
      <c r="E425" s="3"/>
      <c r="F425" s="3" t="str">
        <f>IFERROR(VLOOKUP(E425, [1]Hotels!$A:$B, 2, FALSE),"")</f>
        <v/>
      </c>
      <c r="G425" s="14"/>
      <c r="H425" s="26"/>
      <c r="I425" s="2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26"/>
      <c r="B426" s="3"/>
      <c r="C426" s="3"/>
      <c r="D426" s="10"/>
      <c r="E426" s="3"/>
      <c r="F426" s="3" t="str">
        <f>IFERROR(VLOOKUP(E426, [1]Hotels!$A:$B, 2, FALSE),"")</f>
        <v/>
      </c>
      <c r="G426" s="14"/>
      <c r="H426" s="26"/>
      <c r="I426" s="2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26"/>
      <c r="B427" s="3"/>
      <c r="C427" s="3"/>
      <c r="D427" s="10"/>
      <c r="E427" s="3"/>
      <c r="F427" s="3" t="str">
        <f>IFERROR(VLOOKUP(E427, [1]Hotels!$A:$B, 2, FALSE),"")</f>
        <v/>
      </c>
      <c r="G427" s="14"/>
      <c r="H427" s="26"/>
      <c r="I427" s="2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26"/>
      <c r="B428" s="3"/>
      <c r="C428" s="3"/>
      <c r="D428" s="10"/>
      <c r="E428" s="3"/>
      <c r="F428" s="3" t="str">
        <f>IFERROR(VLOOKUP(E428, [1]Hotels!$A:$B, 2, FALSE),"")</f>
        <v/>
      </c>
      <c r="G428" s="14"/>
      <c r="H428" s="26"/>
      <c r="I428" s="2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26"/>
      <c r="B429" s="3"/>
      <c r="C429" s="3"/>
      <c r="D429" s="10"/>
      <c r="E429" s="3"/>
      <c r="F429" s="3" t="str">
        <f>IFERROR(VLOOKUP(E429, [1]Hotels!$A:$B, 2, FALSE),"")</f>
        <v/>
      </c>
      <c r="G429" s="14"/>
      <c r="H429" s="26"/>
      <c r="I429" s="2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26"/>
      <c r="B430" s="3"/>
      <c r="C430" s="3"/>
      <c r="D430" s="10"/>
      <c r="E430" s="3"/>
      <c r="F430" s="3" t="str">
        <f>IFERROR(VLOOKUP(E430, [1]Hotels!$A:$B, 2, FALSE),"")</f>
        <v/>
      </c>
      <c r="G430" s="14"/>
      <c r="H430" s="26"/>
      <c r="I430" s="2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26"/>
      <c r="B431" s="3"/>
      <c r="C431" s="3"/>
      <c r="D431" s="10"/>
      <c r="E431" s="3"/>
      <c r="F431" s="3" t="str">
        <f>IFERROR(VLOOKUP(E431, [1]Hotels!$A:$B, 2, FALSE),"")</f>
        <v/>
      </c>
      <c r="G431" s="14"/>
      <c r="H431" s="26"/>
      <c r="I431" s="2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26"/>
      <c r="B432" s="3"/>
      <c r="C432" s="3"/>
      <c r="D432" s="10"/>
      <c r="E432" s="3"/>
      <c r="F432" s="3" t="str">
        <f>IFERROR(VLOOKUP(E432, [1]Hotels!$A:$B, 2, FALSE),"")</f>
        <v/>
      </c>
      <c r="G432" s="14"/>
      <c r="H432" s="26"/>
      <c r="I432" s="2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26"/>
      <c r="B433" s="3"/>
      <c r="C433" s="3"/>
      <c r="D433" s="10"/>
      <c r="E433" s="3"/>
      <c r="F433" s="3" t="str">
        <f>IFERROR(VLOOKUP(E433, [1]Hotels!$A:$B, 2, FALSE),"")</f>
        <v/>
      </c>
      <c r="G433" s="14"/>
      <c r="H433" s="26"/>
      <c r="I433" s="2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26"/>
      <c r="B434" s="3"/>
      <c r="C434" s="3"/>
      <c r="D434" s="10"/>
      <c r="E434" s="3"/>
      <c r="F434" s="3" t="str">
        <f>IFERROR(VLOOKUP(E434, [1]Hotels!$A:$B, 2, FALSE),"")</f>
        <v/>
      </c>
      <c r="G434" s="14"/>
      <c r="H434" s="26"/>
      <c r="I434" s="2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26"/>
      <c r="B435" s="3"/>
      <c r="C435" s="3"/>
      <c r="D435" s="10"/>
      <c r="E435" s="3"/>
      <c r="F435" s="3" t="str">
        <f>IFERROR(VLOOKUP(E435, [1]Hotels!$A:$B, 2, FALSE),"")</f>
        <v/>
      </c>
      <c r="G435" s="14"/>
      <c r="H435" s="26"/>
      <c r="I435" s="2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26"/>
      <c r="B436" s="3"/>
      <c r="C436" s="3"/>
      <c r="D436" s="10"/>
      <c r="E436" s="3"/>
      <c r="F436" s="3" t="str">
        <f>IFERROR(VLOOKUP(E436, [1]Hotels!$A:$B, 2, FALSE),"")</f>
        <v/>
      </c>
      <c r="G436" s="14"/>
      <c r="H436" s="26"/>
      <c r="I436" s="2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26"/>
      <c r="B437" s="3"/>
      <c r="C437" s="3"/>
      <c r="D437" s="10"/>
      <c r="E437" s="3"/>
      <c r="F437" s="3" t="str">
        <f>IFERROR(VLOOKUP(E437, [1]Hotels!$A:$B, 2, FALSE),"")</f>
        <v/>
      </c>
      <c r="G437" s="14"/>
      <c r="H437" s="26"/>
      <c r="I437" s="2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26"/>
      <c r="B438" s="3"/>
      <c r="C438" s="3"/>
      <c r="D438" s="10"/>
      <c r="E438" s="3"/>
      <c r="F438" s="3" t="str">
        <f>IFERROR(VLOOKUP(E438, [1]Hotels!$A:$B, 2, FALSE),"")</f>
        <v/>
      </c>
      <c r="G438" s="14"/>
      <c r="H438" s="26"/>
      <c r="I438" s="2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26"/>
      <c r="B439" s="3"/>
      <c r="C439" s="3"/>
      <c r="D439" s="10"/>
      <c r="E439" s="3"/>
      <c r="F439" s="3" t="str">
        <f>IFERROR(VLOOKUP(E439, [1]Hotels!$A:$B, 2, FALSE),"")</f>
        <v/>
      </c>
      <c r="G439" s="14"/>
      <c r="H439" s="26"/>
      <c r="I439" s="2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26"/>
      <c r="B440" s="3"/>
      <c r="C440" s="3"/>
      <c r="D440" s="10"/>
      <c r="E440" s="3"/>
      <c r="F440" s="3" t="str">
        <f>IFERROR(VLOOKUP(E440, [1]Hotels!$A:$B, 2, FALSE),"")</f>
        <v/>
      </c>
      <c r="G440" s="14"/>
      <c r="H440" s="26"/>
      <c r="I440" s="2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26"/>
      <c r="B441" s="3"/>
      <c r="C441" s="3"/>
      <c r="D441" s="10"/>
      <c r="E441" s="3"/>
      <c r="F441" s="3" t="str">
        <f>IFERROR(VLOOKUP(E441, [1]Hotels!$A:$B, 2, FALSE),"")</f>
        <v/>
      </c>
      <c r="G441" s="14"/>
      <c r="H441" s="26"/>
      <c r="I441" s="2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26"/>
      <c r="B442" s="3"/>
      <c r="C442" s="3"/>
      <c r="D442" s="10"/>
      <c r="E442" s="3"/>
      <c r="F442" s="3" t="str">
        <f>IFERROR(VLOOKUP(E442, [1]Hotels!$A:$B, 2, FALSE),"")</f>
        <v/>
      </c>
      <c r="G442" s="14"/>
      <c r="H442" s="26"/>
      <c r="I442" s="2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26"/>
      <c r="B443" s="3"/>
      <c r="C443" s="3"/>
      <c r="D443" s="10"/>
      <c r="E443" s="3"/>
      <c r="F443" s="3" t="str">
        <f>IFERROR(VLOOKUP(E443, [1]Hotels!$A:$B, 2, FALSE),"")</f>
        <v/>
      </c>
      <c r="G443" s="14"/>
      <c r="H443" s="26"/>
      <c r="I443" s="2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26"/>
      <c r="B444" s="3"/>
      <c r="C444" s="3"/>
      <c r="D444" s="10"/>
      <c r="E444" s="3"/>
      <c r="F444" s="3" t="str">
        <f>IFERROR(VLOOKUP(E444, [1]Hotels!$A:$B, 2, FALSE),"")</f>
        <v/>
      </c>
      <c r="G444" s="14"/>
      <c r="H444" s="26"/>
      <c r="I444" s="2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26"/>
      <c r="B445" s="3"/>
      <c r="C445" s="3"/>
      <c r="D445" s="10"/>
      <c r="E445" s="3"/>
      <c r="F445" s="3" t="str">
        <f>IFERROR(VLOOKUP(E445, [1]Hotels!$A:$B, 2, FALSE),"")</f>
        <v/>
      </c>
      <c r="G445" s="14"/>
      <c r="H445" s="26"/>
      <c r="I445" s="2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26"/>
      <c r="B446" s="3"/>
      <c r="C446" s="3"/>
      <c r="D446" s="10"/>
      <c r="E446" s="3"/>
      <c r="F446" s="3" t="str">
        <f>IFERROR(VLOOKUP(E446, [1]Hotels!$A:$B, 2, FALSE),"")</f>
        <v/>
      </c>
      <c r="G446" s="14"/>
      <c r="H446" s="26"/>
      <c r="I446" s="2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26"/>
      <c r="B447" s="3"/>
      <c r="C447" s="3"/>
      <c r="D447" s="10"/>
      <c r="E447" s="3"/>
      <c r="F447" s="3" t="str">
        <f>IFERROR(VLOOKUP(E447, [1]Hotels!$A:$B, 2, FALSE),"")</f>
        <v/>
      </c>
      <c r="G447" s="14"/>
      <c r="H447" s="26"/>
      <c r="I447" s="2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26"/>
      <c r="B448" s="3"/>
      <c r="C448" s="3"/>
      <c r="D448" s="10"/>
      <c r="E448" s="3"/>
      <c r="F448" s="3" t="str">
        <f>IFERROR(VLOOKUP(E448, [1]Hotels!$A:$B, 2, FALSE),"")</f>
        <v/>
      </c>
      <c r="G448" s="14"/>
      <c r="H448" s="26"/>
      <c r="I448" s="2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26"/>
      <c r="B449" s="3"/>
      <c r="C449" s="3"/>
      <c r="D449" s="10"/>
      <c r="E449" s="3"/>
      <c r="F449" s="3" t="str">
        <f>IFERROR(VLOOKUP(E449, [1]Hotels!$A:$B, 2, FALSE),"")</f>
        <v/>
      </c>
      <c r="G449" s="14"/>
      <c r="H449" s="26"/>
      <c r="I449" s="2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26"/>
      <c r="B450" s="3"/>
      <c r="C450" s="3"/>
      <c r="D450" s="10"/>
      <c r="E450" s="3"/>
      <c r="F450" s="3" t="str">
        <f>IFERROR(VLOOKUP(E450, [1]Hotels!$A:$B, 2, FALSE),"")</f>
        <v/>
      </c>
      <c r="G450" s="14"/>
      <c r="H450" s="26"/>
      <c r="I450" s="2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26"/>
      <c r="B451" s="3"/>
      <c r="C451" s="3"/>
      <c r="D451" s="10"/>
      <c r="E451" s="3"/>
      <c r="F451" s="3" t="str">
        <f>IFERROR(VLOOKUP(E451, [1]Hotels!$A:$B, 2, FALSE),"")</f>
        <v/>
      </c>
      <c r="G451" s="14"/>
      <c r="H451" s="26"/>
      <c r="I451" s="2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26"/>
      <c r="B452" s="3"/>
      <c r="C452" s="3"/>
      <c r="D452" s="10"/>
      <c r="E452" s="3"/>
      <c r="F452" s="3" t="str">
        <f>IFERROR(VLOOKUP(E452, [1]Hotels!$A:$B, 2, FALSE),"")</f>
        <v/>
      </c>
      <c r="G452" s="14"/>
      <c r="H452" s="26"/>
      <c r="I452" s="2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26"/>
      <c r="B453" s="3"/>
      <c r="C453" s="3"/>
      <c r="D453" s="10"/>
      <c r="E453" s="3"/>
      <c r="F453" s="3" t="str">
        <f>IFERROR(VLOOKUP(E453, [1]Hotels!$A:$B, 2, FALSE),"")</f>
        <v/>
      </c>
      <c r="G453" s="14"/>
      <c r="H453" s="26"/>
      <c r="I453" s="2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26"/>
      <c r="B454" s="3"/>
      <c r="C454" s="3"/>
      <c r="D454" s="10"/>
      <c r="E454" s="3"/>
      <c r="F454" s="3" t="str">
        <f>IFERROR(VLOOKUP(E454, [1]Hotels!$A:$B, 2, FALSE),"")</f>
        <v/>
      </c>
      <c r="G454" s="14"/>
      <c r="H454" s="26"/>
      <c r="I454" s="2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26"/>
      <c r="B455" s="3"/>
      <c r="C455" s="3"/>
      <c r="D455" s="10"/>
      <c r="E455" s="3"/>
      <c r="F455" s="3" t="str">
        <f>IFERROR(VLOOKUP(E455, [1]Hotels!$A:$B, 2, FALSE),"")</f>
        <v/>
      </c>
      <c r="G455" s="14"/>
      <c r="H455" s="26"/>
      <c r="I455" s="2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26"/>
      <c r="B456" s="3"/>
      <c r="C456" s="3"/>
      <c r="D456" s="10"/>
      <c r="E456" s="3"/>
      <c r="F456" s="3" t="str">
        <f>IFERROR(VLOOKUP(E456, [1]Hotels!$A:$B, 2, FALSE),"")</f>
        <v/>
      </c>
      <c r="G456" s="14"/>
      <c r="H456" s="26"/>
      <c r="I456" s="2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26"/>
      <c r="B457" s="3"/>
      <c r="C457" s="3"/>
      <c r="D457" s="10"/>
      <c r="E457" s="3"/>
      <c r="F457" s="3" t="str">
        <f>IFERROR(VLOOKUP(E457, [1]Hotels!$A:$B, 2, FALSE),"")</f>
        <v/>
      </c>
      <c r="G457" s="14"/>
      <c r="H457" s="26"/>
      <c r="I457" s="2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26"/>
      <c r="B458" s="3"/>
      <c r="C458" s="3"/>
      <c r="D458" s="10"/>
      <c r="E458" s="3"/>
      <c r="F458" s="3" t="str">
        <f>IFERROR(VLOOKUP(E458, [1]Hotels!$A:$B, 2, FALSE),"")</f>
        <v/>
      </c>
      <c r="G458" s="14"/>
      <c r="H458" s="26"/>
      <c r="I458" s="2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26"/>
      <c r="B459" s="3"/>
      <c r="C459" s="3"/>
      <c r="D459" s="10"/>
      <c r="E459" s="3"/>
      <c r="F459" s="3" t="str">
        <f>IFERROR(VLOOKUP(E459, [1]Hotels!$A:$B, 2, FALSE),"")</f>
        <v/>
      </c>
      <c r="G459" s="14"/>
      <c r="H459" s="26"/>
      <c r="I459" s="2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26"/>
      <c r="B460" s="3"/>
      <c r="C460" s="3"/>
      <c r="D460" s="10"/>
      <c r="E460" s="3"/>
      <c r="F460" s="3" t="str">
        <f>IFERROR(VLOOKUP(E460, [1]Hotels!$A:$B, 2, FALSE),"")</f>
        <v/>
      </c>
      <c r="G460" s="14"/>
      <c r="H460" s="26"/>
      <c r="I460" s="2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26"/>
      <c r="B461" s="3"/>
      <c r="C461" s="3"/>
      <c r="D461" s="10"/>
      <c r="E461" s="3"/>
      <c r="F461" s="3" t="str">
        <f>IFERROR(VLOOKUP(E461, [1]Hotels!$A:$B, 2, FALSE),"")</f>
        <v/>
      </c>
      <c r="G461" s="14"/>
      <c r="H461" s="26"/>
      <c r="I461" s="2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26"/>
      <c r="B462" s="3"/>
      <c r="C462" s="3"/>
      <c r="D462" s="10"/>
      <c r="E462" s="3"/>
      <c r="F462" s="3" t="str">
        <f>IFERROR(VLOOKUP(E462, [1]Hotels!$A:$B, 2, FALSE),"")</f>
        <v/>
      </c>
      <c r="G462" s="14"/>
      <c r="H462" s="26"/>
      <c r="I462" s="2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26"/>
      <c r="B463" s="3"/>
      <c r="C463" s="3"/>
      <c r="D463" s="10"/>
      <c r="E463" s="3"/>
      <c r="F463" s="3" t="str">
        <f>IFERROR(VLOOKUP(E463, [1]Hotels!$A:$B, 2, FALSE),"")</f>
        <v/>
      </c>
      <c r="G463" s="14"/>
      <c r="H463" s="26"/>
      <c r="I463" s="2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26"/>
      <c r="B464" s="3"/>
      <c r="C464" s="3"/>
      <c r="D464" s="10"/>
      <c r="E464" s="3"/>
      <c r="F464" s="3" t="str">
        <f>IFERROR(VLOOKUP(E464, [1]Hotels!$A:$B, 2, FALSE),"")</f>
        <v/>
      </c>
      <c r="G464" s="14"/>
      <c r="H464" s="26"/>
      <c r="I464" s="2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26"/>
      <c r="B465" s="3"/>
      <c r="C465" s="3"/>
      <c r="D465" s="10"/>
      <c r="E465" s="3"/>
      <c r="F465" s="3" t="str">
        <f>IFERROR(VLOOKUP(E465, [1]Hotels!$A:$B, 2, FALSE),"")</f>
        <v/>
      </c>
      <c r="G465" s="14"/>
      <c r="H465" s="26"/>
      <c r="I465" s="2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26"/>
      <c r="B466" s="3"/>
      <c r="C466" s="3"/>
      <c r="D466" s="10"/>
      <c r="E466" s="3"/>
      <c r="F466" s="3" t="str">
        <f>IFERROR(VLOOKUP(E466, [1]Hotels!$A:$B, 2, FALSE),"")</f>
        <v/>
      </c>
      <c r="G466" s="14"/>
      <c r="H466" s="26"/>
      <c r="I466" s="2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26"/>
      <c r="B467" s="3"/>
      <c r="C467" s="3"/>
      <c r="D467" s="10"/>
      <c r="E467" s="3"/>
      <c r="F467" s="3" t="str">
        <f>IFERROR(VLOOKUP(E467, [1]Hotels!$A:$B, 2, FALSE),"")</f>
        <v/>
      </c>
      <c r="G467" s="14"/>
      <c r="H467" s="26"/>
      <c r="I467" s="2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26"/>
      <c r="B468" s="3"/>
      <c r="C468" s="3"/>
      <c r="D468" s="10"/>
      <c r="E468" s="3"/>
      <c r="F468" s="3" t="str">
        <f>IFERROR(VLOOKUP(E468, [1]Hotels!$A:$B, 2, FALSE),"")</f>
        <v/>
      </c>
      <c r="G468" s="14"/>
      <c r="H468" s="26"/>
      <c r="I468" s="2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26"/>
      <c r="B469" s="3"/>
      <c r="C469" s="3"/>
      <c r="D469" s="10"/>
      <c r="E469" s="3"/>
      <c r="F469" s="3" t="str">
        <f>IFERROR(VLOOKUP(E469, [1]Hotels!$A:$B, 2, FALSE),"")</f>
        <v/>
      </c>
      <c r="G469" s="14"/>
      <c r="H469" s="26"/>
      <c r="I469" s="2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26"/>
      <c r="B470" s="3"/>
      <c r="C470" s="3"/>
      <c r="D470" s="10"/>
      <c r="E470" s="3"/>
      <c r="F470" s="3" t="str">
        <f>IFERROR(VLOOKUP(E470, [1]Hotels!$A:$B, 2, FALSE),"")</f>
        <v/>
      </c>
      <c r="G470" s="14"/>
      <c r="H470" s="26"/>
      <c r="I470" s="2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26"/>
      <c r="B471" s="3"/>
      <c r="C471" s="3"/>
      <c r="D471" s="10"/>
      <c r="E471" s="3"/>
      <c r="F471" s="3" t="str">
        <f>IFERROR(VLOOKUP(E471, [1]Hotels!$A:$B, 2, FALSE),"")</f>
        <v/>
      </c>
      <c r="G471" s="14"/>
      <c r="H471" s="26"/>
      <c r="I471" s="2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26"/>
      <c r="B472" s="3"/>
      <c r="C472" s="3"/>
      <c r="D472" s="10"/>
      <c r="E472" s="3"/>
      <c r="F472" s="3" t="str">
        <f>IFERROR(VLOOKUP(E472, [1]Hotels!$A:$B, 2, FALSE),"")</f>
        <v/>
      </c>
      <c r="G472" s="14"/>
      <c r="H472" s="26"/>
      <c r="I472" s="2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26"/>
      <c r="B473" s="3"/>
      <c r="C473" s="3"/>
      <c r="D473" s="10"/>
      <c r="E473" s="3"/>
      <c r="F473" s="3" t="str">
        <f>IFERROR(VLOOKUP(E473, [1]Hotels!$A:$B, 2, FALSE),"")</f>
        <v/>
      </c>
      <c r="G473" s="14"/>
      <c r="H473" s="26"/>
      <c r="I473" s="2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26"/>
      <c r="B474" s="3"/>
      <c r="C474" s="3"/>
      <c r="D474" s="10"/>
      <c r="E474" s="3"/>
      <c r="F474" s="3" t="str">
        <f>IFERROR(VLOOKUP(E474, [1]Hotels!$A:$B, 2, FALSE),"")</f>
        <v/>
      </c>
      <c r="G474" s="14"/>
      <c r="H474" s="26"/>
      <c r="I474" s="2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26"/>
      <c r="B475" s="3"/>
      <c r="C475" s="3"/>
      <c r="D475" s="10"/>
      <c r="E475" s="3"/>
      <c r="F475" s="3" t="str">
        <f>IFERROR(VLOOKUP(E475, [1]Hotels!$A:$B, 2, FALSE),"")</f>
        <v/>
      </c>
      <c r="G475" s="14"/>
      <c r="H475" s="26"/>
      <c r="I475" s="2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26"/>
      <c r="B476" s="3"/>
      <c r="C476" s="3"/>
      <c r="D476" s="10"/>
      <c r="E476" s="3"/>
      <c r="F476" s="3" t="str">
        <f>IFERROR(VLOOKUP(E476, [1]Hotels!$A:$B, 2, FALSE),"")</f>
        <v/>
      </c>
      <c r="G476" s="14"/>
      <c r="H476" s="26"/>
      <c r="I476" s="2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26"/>
      <c r="B477" s="3"/>
      <c r="C477" s="3"/>
      <c r="D477" s="10"/>
      <c r="E477" s="3"/>
      <c r="F477" s="3" t="str">
        <f>IFERROR(VLOOKUP(E477, [1]Hotels!$A:$B, 2, FALSE),"")</f>
        <v/>
      </c>
      <c r="G477" s="14"/>
      <c r="H477" s="26"/>
      <c r="I477" s="2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26"/>
      <c r="B478" s="3"/>
      <c r="C478" s="3"/>
      <c r="D478" s="10"/>
      <c r="E478" s="3"/>
      <c r="F478" s="3" t="str">
        <f>IFERROR(VLOOKUP(E478, [1]Hotels!$A:$B, 2, FALSE),"")</f>
        <v/>
      </c>
      <c r="G478" s="14"/>
      <c r="H478" s="26"/>
      <c r="I478" s="2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26"/>
      <c r="B479" s="3"/>
      <c r="C479" s="3"/>
      <c r="D479" s="10"/>
      <c r="E479" s="3"/>
      <c r="F479" s="3" t="str">
        <f>IFERROR(VLOOKUP(E479, [1]Hotels!$A:$B, 2, FALSE),"")</f>
        <v/>
      </c>
      <c r="G479" s="14"/>
      <c r="H479" s="26"/>
      <c r="I479" s="2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26"/>
      <c r="B480" s="3"/>
      <c r="C480" s="3"/>
      <c r="D480" s="10"/>
      <c r="E480" s="3"/>
      <c r="F480" s="3" t="str">
        <f>IFERROR(VLOOKUP(E480, [1]Hotels!$A:$B, 2, FALSE),"")</f>
        <v/>
      </c>
      <c r="G480" s="14"/>
      <c r="H480" s="26"/>
      <c r="I480" s="2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26"/>
      <c r="B481" s="3"/>
      <c r="C481" s="3"/>
      <c r="D481" s="10"/>
      <c r="E481" s="3"/>
      <c r="F481" s="3" t="str">
        <f>IFERROR(VLOOKUP(E481, [1]Hotels!$A:$B, 2, FALSE),"")</f>
        <v/>
      </c>
      <c r="G481" s="14"/>
      <c r="H481" s="26"/>
      <c r="I481" s="2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26"/>
      <c r="B482" s="3"/>
      <c r="C482" s="3"/>
      <c r="D482" s="10"/>
      <c r="E482" s="3"/>
      <c r="F482" s="3" t="str">
        <f>IFERROR(VLOOKUP(E482, [1]Hotels!$A:$B, 2, FALSE),"")</f>
        <v/>
      </c>
      <c r="G482" s="14"/>
      <c r="H482" s="26"/>
      <c r="I482" s="2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26"/>
      <c r="B483" s="3"/>
      <c r="C483" s="3"/>
      <c r="D483" s="10"/>
      <c r="E483" s="3"/>
      <c r="F483" s="3" t="str">
        <f>IFERROR(VLOOKUP(E483, [1]Hotels!$A:$B, 2, FALSE),"")</f>
        <v/>
      </c>
      <c r="G483" s="14"/>
      <c r="H483" s="26"/>
      <c r="I483" s="2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26"/>
      <c r="B484" s="3"/>
      <c r="C484" s="3"/>
      <c r="D484" s="10"/>
      <c r="E484" s="3"/>
      <c r="F484" s="3" t="str">
        <f>IFERROR(VLOOKUP(E484, [1]Hotels!$A:$B, 2, FALSE),"")</f>
        <v/>
      </c>
      <c r="G484" s="14"/>
      <c r="H484" s="26"/>
      <c r="I484" s="2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26"/>
      <c r="B485" s="3"/>
      <c r="C485" s="3"/>
      <c r="D485" s="10"/>
      <c r="E485" s="3"/>
      <c r="F485" s="3" t="str">
        <f>IFERROR(VLOOKUP(E485, [1]Hotels!$A:$B, 2, FALSE),"")</f>
        <v/>
      </c>
      <c r="G485" s="14"/>
      <c r="H485" s="26"/>
      <c r="I485" s="2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26"/>
      <c r="B486" s="3"/>
      <c r="C486" s="3"/>
      <c r="D486" s="10"/>
      <c r="E486" s="3"/>
      <c r="F486" s="3" t="str">
        <f>IFERROR(VLOOKUP(E486, [1]Hotels!$A:$B, 2, FALSE),"")</f>
        <v/>
      </c>
      <c r="G486" s="14"/>
      <c r="H486" s="26"/>
      <c r="I486" s="2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26"/>
      <c r="B487" s="3"/>
      <c r="C487" s="3"/>
      <c r="D487" s="10"/>
      <c r="E487" s="3"/>
      <c r="F487" s="3" t="str">
        <f>IFERROR(VLOOKUP(E487, [1]Hotels!$A:$B, 2, FALSE),"")</f>
        <v/>
      </c>
      <c r="G487" s="14"/>
      <c r="H487" s="26"/>
      <c r="I487" s="2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26"/>
      <c r="B488" s="3"/>
      <c r="C488" s="3"/>
      <c r="D488" s="10"/>
      <c r="E488" s="3"/>
      <c r="F488" s="3" t="str">
        <f>IFERROR(VLOOKUP(E488, [1]Hotels!$A:$B, 2, FALSE),"")</f>
        <v/>
      </c>
      <c r="G488" s="14"/>
      <c r="H488" s="26"/>
      <c r="I488" s="2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26"/>
      <c r="B489" s="3"/>
      <c r="C489" s="3"/>
      <c r="D489" s="10"/>
      <c r="E489" s="3"/>
      <c r="F489" s="3" t="str">
        <f>IFERROR(VLOOKUP(E489, [1]Hotels!$A:$B, 2, FALSE),"")</f>
        <v/>
      </c>
      <c r="G489" s="14"/>
      <c r="H489" s="26"/>
      <c r="I489" s="2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26"/>
      <c r="B490" s="3"/>
      <c r="C490" s="3"/>
      <c r="D490" s="10"/>
      <c r="E490" s="3"/>
      <c r="F490" s="3" t="str">
        <f>IFERROR(VLOOKUP(E490, [1]Hotels!$A:$B, 2, FALSE),"")</f>
        <v/>
      </c>
      <c r="G490" s="14"/>
      <c r="H490" s="26"/>
      <c r="I490" s="2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26"/>
      <c r="B491" s="3"/>
      <c r="C491" s="3"/>
      <c r="D491" s="10"/>
      <c r="E491" s="3"/>
      <c r="F491" s="3" t="str">
        <f>IFERROR(VLOOKUP(E491, [1]Hotels!$A:$B, 2, FALSE),"")</f>
        <v/>
      </c>
      <c r="G491" s="14"/>
      <c r="H491" s="26"/>
      <c r="I491" s="2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26"/>
      <c r="B492" s="3"/>
      <c r="C492" s="3"/>
      <c r="D492" s="10"/>
      <c r="E492" s="3"/>
      <c r="F492" s="3" t="str">
        <f>IFERROR(VLOOKUP(E492, [1]Hotels!$A:$B, 2, FALSE),"")</f>
        <v/>
      </c>
      <c r="G492" s="14"/>
      <c r="H492" s="26"/>
      <c r="I492" s="2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26"/>
      <c r="B493" s="3"/>
      <c r="C493" s="3"/>
      <c r="D493" s="10"/>
      <c r="E493" s="3"/>
      <c r="F493" s="3" t="str">
        <f>IFERROR(VLOOKUP(E493, [1]Hotels!$A:$B, 2, FALSE),"")</f>
        <v/>
      </c>
      <c r="G493" s="14"/>
      <c r="H493" s="26"/>
      <c r="I493" s="2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26"/>
      <c r="B494" s="3"/>
      <c r="C494" s="3"/>
      <c r="D494" s="10"/>
      <c r="E494" s="3"/>
      <c r="F494" s="3" t="str">
        <f>IFERROR(VLOOKUP(E494, [1]Hotels!$A:$B, 2, FALSE),"")</f>
        <v/>
      </c>
      <c r="G494" s="14"/>
      <c r="H494" s="26"/>
      <c r="I494" s="2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26"/>
      <c r="B495" s="3"/>
      <c r="C495" s="3"/>
      <c r="D495" s="10"/>
      <c r="E495" s="3"/>
      <c r="F495" s="3" t="str">
        <f>IFERROR(VLOOKUP(E495, [1]Hotels!$A:$B, 2, FALSE),"")</f>
        <v/>
      </c>
      <c r="G495" s="14"/>
      <c r="H495" s="26"/>
      <c r="I495" s="2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26"/>
      <c r="B496" s="3"/>
      <c r="C496" s="3"/>
      <c r="D496" s="10"/>
      <c r="E496" s="3"/>
      <c r="F496" s="3" t="str">
        <f>IFERROR(VLOOKUP(E496, [1]Hotels!$A:$B, 2, FALSE),"")</f>
        <v/>
      </c>
      <c r="G496" s="14"/>
      <c r="H496" s="26"/>
      <c r="I496" s="2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26"/>
      <c r="B497" s="3"/>
      <c r="C497" s="3"/>
      <c r="D497" s="10"/>
      <c r="E497" s="3"/>
      <c r="F497" s="3" t="str">
        <f>IFERROR(VLOOKUP(E497, [1]Hotels!$A:$B, 2, FALSE),"")</f>
        <v/>
      </c>
      <c r="G497" s="14"/>
      <c r="H497" s="26"/>
      <c r="I497" s="2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26"/>
      <c r="B498" s="3"/>
      <c r="C498" s="3"/>
      <c r="D498" s="10"/>
      <c r="E498" s="3"/>
      <c r="F498" s="3" t="str">
        <f>IFERROR(VLOOKUP(E498, [1]Hotels!$A:$B, 2, FALSE),"")</f>
        <v/>
      </c>
      <c r="G498" s="14"/>
      <c r="H498" s="26"/>
      <c r="I498" s="2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26"/>
      <c r="B499" s="3"/>
      <c r="C499" s="3"/>
      <c r="D499" s="10"/>
      <c r="E499" s="3"/>
      <c r="F499" s="3" t="str">
        <f>IFERROR(VLOOKUP(E499, [1]Hotels!$A:$B, 2, FALSE),"")</f>
        <v/>
      </c>
      <c r="G499" s="14"/>
      <c r="H499" s="26"/>
      <c r="I499" s="2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26"/>
      <c r="B500" s="3"/>
      <c r="C500" s="3"/>
      <c r="D500" s="10"/>
      <c r="E500" s="3"/>
      <c r="F500" s="3" t="str">
        <f>IFERROR(VLOOKUP(E500, [1]Hotels!$A:$B, 2, FALSE),"")</f>
        <v/>
      </c>
      <c r="G500" s="14"/>
      <c r="H500" s="26"/>
      <c r="I500" s="2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26"/>
      <c r="B501" s="3"/>
      <c r="C501" s="3"/>
      <c r="D501" s="10"/>
      <c r="E501" s="3"/>
      <c r="F501" s="3" t="str">
        <f>IFERROR(VLOOKUP(E501, [1]Hotels!$A:$B, 2, FALSE),"")</f>
        <v/>
      </c>
      <c r="G501" s="14"/>
      <c r="H501" s="26"/>
      <c r="I501" s="2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26"/>
      <c r="B502" s="3"/>
      <c r="C502" s="3"/>
      <c r="D502" s="10"/>
      <c r="E502" s="3"/>
      <c r="F502" s="3" t="str">
        <f>IFERROR(VLOOKUP(E502, [1]Hotels!$A:$B, 2, FALSE),"")</f>
        <v/>
      </c>
      <c r="G502" s="14"/>
      <c r="H502" s="26"/>
      <c r="I502" s="2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26"/>
      <c r="B503" s="3"/>
      <c r="C503" s="3"/>
      <c r="D503" s="10"/>
      <c r="E503" s="3"/>
      <c r="F503" s="3" t="str">
        <f>IFERROR(VLOOKUP(E503, [1]Hotels!$A:$B, 2, FALSE),"")</f>
        <v/>
      </c>
      <c r="G503" s="14"/>
      <c r="H503" s="26"/>
      <c r="I503" s="2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26"/>
      <c r="B504" s="3"/>
      <c r="C504" s="3"/>
      <c r="D504" s="10"/>
      <c r="E504" s="3"/>
      <c r="F504" s="3" t="str">
        <f>IFERROR(VLOOKUP(E504, [1]Hotels!$A:$B, 2, FALSE),"")</f>
        <v/>
      </c>
      <c r="G504" s="14"/>
      <c r="H504" s="26"/>
      <c r="I504" s="2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26"/>
      <c r="B505" s="3"/>
      <c r="C505" s="3"/>
      <c r="D505" s="10"/>
      <c r="E505" s="3"/>
      <c r="F505" s="3" t="str">
        <f>IFERROR(VLOOKUP(E505, [1]Hotels!$A:$B, 2, FALSE),"")</f>
        <v/>
      </c>
      <c r="G505" s="14"/>
      <c r="H505" s="26"/>
      <c r="I505" s="2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26"/>
      <c r="B506" s="3"/>
      <c r="C506" s="3"/>
      <c r="D506" s="10"/>
      <c r="E506" s="3"/>
      <c r="F506" s="3" t="str">
        <f>IFERROR(VLOOKUP(E506, [1]Hotels!$A:$B, 2, FALSE),"")</f>
        <v/>
      </c>
      <c r="G506" s="14"/>
      <c r="H506" s="26"/>
      <c r="I506" s="2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26"/>
      <c r="B507" s="3"/>
      <c r="C507" s="3"/>
      <c r="D507" s="10"/>
      <c r="E507" s="3"/>
      <c r="F507" s="3" t="str">
        <f>IFERROR(VLOOKUP(E507, [1]Hotels!$A:$B, 2, FALSE),"")</f>
        <v/>
      </c>
      <c r="G507" s="14"/>
      <c r="H507" s="26"/>
      <c r="I507" s="2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26"/>
      <c r="B508" s="3"/>
      <c r="C508" s="3"/>
      <c r="D508" s="10"/>
      <c r="E508" s="3"/>
      <c r="F508" s="3" t="str">
        <f>IFERROR(VLOOKUP(E508, [1]Hotels!$A:$B, 2, FALSE),"")</f>
        <v/>
      </c>
      <c r="G508" s="14"/>
      <c r="H508" s="26"/>
      <c r="I508" s="2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26"/>
      <c r="B509" s="3"/>
      <c r="C509" s="3"/>
      <c r="D509" s="10"/>
      <c r="E509" s="3"/>
      <c r="F509" s="3" t="str">
        <f>IFERROR(VLOOKUP(E509, [1]Hotels!$A:$B, 2, FALSE),"")</f>
        <v/>
      </c>
      <c r="G509" s="14"/>
      <c r="H509" s="26"/>
      <c r="I509" s="2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26"/>
      <c r="B510" s="3"/>
      <c r="C510" s="3"/>
      <c r="D510" s="10"/>
      <c r="E510" s="3"/>
      <c r="F510" s="3" t="str">
        <f>IFERROR(VLOOKUP(E510, [1]Hotels!$A:$B, 2, FALSE),"")</f>
        <v/>
      </c>
      <c r="G510" s="14"/>
      <c r="H510" s="26"/>
      <c r="I510" s="2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26"/>
      <c r="B511" s="3"/>
      <c r="C511" s="3"/>
      <c r="D511" s="10"/>
      <c r="E511" s="3"/>
      <c r="F511" s="3" t="str">
        <f>IFERROR(VLOOKUP(E511, [1]Hotels!$A:$B, 2, FALSE),"")</f>
        <v/>
      </c>
      <c r="G511" s="14"/>
      <c r="H511" s="26"/>
      <c r="I511" s="2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26"/>
      <c r="B512" s="3"/>
      <c r="C512" s="3"/>
      <c r="D512" s="10"/>
      <c r="E512" s="3"/>
      <c r="F512" s="3" t="str">
        <f>IFERROR(VLOOKUP(E512, [1]Hotels!$A:$B, 2, FALSE),"")</f>
        <v/>
      </c>
      <c r="G512" s="14"/>
      <c r="H512" s="26"/>
      <c r="I512" s="2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26"/>
      <c r="B513" s="3"/>
      <c r="C513" s="3"/>
      <c r="D513" s="10"/>
      <c r="E513" s="3"/>
      <c r="F513" s="3" t="str">
        <f>IFERROR(VLOOKUP(E513, [1]Hotels!$A:$B, 2, FALSE),"")</f>
        <v/>
      </c>
      <c r="G513" s="14"/>
      <c r="H513" s="26"/>
      <c r="I513" s="2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26"/>
      <c r="B514" s="3"/>
      <c r="C514" s="3"/>
      <c r="D514" s="10"/>
      <c r="E514" s="3"/>
      <c r="F514" s="3" t="str">
        <f>IFERROR(VLOOKUP(E514, [1]Hotels!$A:$B, 2, FALSE),"")</f>
        <v/>
      </c>
      <c r="G514" s="14"/>
      <c r="H514" s="26"/>
      <c r="I514" s="2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26"/>
      <c r="B515" s="3"/>
      <c r="C515" s="3"/>
      <c r="D515" s="10"/>
      <c r="E515" s="3"/>
      <c r="F515" s="3" t="str">
        <f>IFERROR(VLOOKUP(E515, [1]Hotels!$A:$B, 2, FALSE),"")</f>
        <v/>
      </c>
      <c r="G515" s="14"/>
      <c r="H515" s="26"/>
      <c r="I515" s="2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26"/>
      <c r="B516" s="3"/>
      <c r="C516" s="3"/>
      <c r="D516" s="10"/>
      <c r="E516" s="3"/>
      <c r="F516" s="3" t="str">
        <f>IFERROR(VLOOKUP(E516, [1]Hotels!$A:$B, 2, FALSE),"")</f>
        <v/>
      </c>
      <c r="G516" s="14"/>
      <c r="H516" s="26"/>
      <c r="I516" s="2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26"/>
      <c r="B517" s="3"/>
      <c r="C517" s="3"/>
      <c r="D517" s="10"/>
      <c r="E517" s="3"/>
      <c r="F517" s="3" t="str">
        <f>IFERROR(VLOOKUP(E517, [1]Hotels!$A:$B, 2, FALSE),"")</f>
        <v/>
      </c>
      <c r="G517" s="14"/>
      <c r="H517" s="26"/>
      <c r="I517" s="2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26"/>
      <c r="B518" s="3"/>
      <c r="C518" s="3"/>
      <c r="D518" s="10"/>
      <c r="E518" s="3"/>
      <c r="F518" s="3" t="str">
        <f>IFERROR(VLOOKUP(E518, [1]Hotels!$A:$B, 2, FALSE),"")</f>
        <v/>
      </c>
      <c r="G518" s="14"/>
      <c r="H518" s="26"/>
      <c r="I518" s="2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26"/>
      <c r="B519" s="3"/>
      <c r="C519" s="3"/>
      <c r="D519" s="10"/>
      <c r="E519" s="3"/>
      <c r="F519" s="3" t="str">
        <f>IFERROR(VLOOKUP(E519, [1]Hotels!$A:$B, 2, FALSE),"")</f>
        <v/>
      </c>
      <c r="G519" s="14"/>
      <c r="H519" s="26"/>
      <c r="I519" s="2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26"/>
      <c r="B520" s="3"/>
      <c r="C520" s="3"/>
      <c r="D520" s="10"/>
      <c r="E520" s="3"/>
      <c r="F520" s="3" t="str">
        <f>IFERROR(VLOOKUP(E520, [1]Hotels!$A:$B, 2, FALSE),"")</f>
        <v/>
      </c>
      <c r="G520" s="14"/>
      <c r="H520" s="26"/>
      <c r="I520" s="2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26"/>
      <c r="B521" s="3"/>
      <c r="C521" s="3"/>
      <c r="D521" s="10"/>
      <c r="E521" s="3"/>
      <c r="F521" s="3" t="str">
        <f>IFERROR(VLOOKUP(E521, [1]Hotels!$A:$B, 2, FALSE),"")</f>
        <v/>
      </c>
      <c r="G521" s="14"/>
      <c r="H521" s="26"/>
      <c r="I521" s="2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26"/>
      <c r="B522" s="3"/>
      <c r="C522" s="3"/>
      <c r="D522" s="10"/>
      <c r="E522" s="3"/>
      <c r="F522" s="3" t="str">
        <f>IFERROR(VLOOKUP(E522, [1]Hotels!$A:$B, 2, FALSE),"")</f>
        <v/>
      </c>
      <c r="G522" s="14"/>
      <c r="H522" s="26"/>
      <c r="I522" s="2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26"/>
      <c r="B523" s="3"/>
      <c r="C523" s="3"/>
      <c r="D523" s="10"/>
      <c r="E523" s="3"/>
      <c r="F523" s="3" t="str">
        <f>IFERROR(VLOOKUP(E523, [1]Hotels!$A:$B, 2, FALSE),"")</f>
        <v/>
      </c>
      <c r="G523" s="14"/>
      <c r="H523" s="26"/>
      <c r="I523" s="2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26"/>
      <c r="B524" s="3"/>
      <c r="C524" s="3"/>
      <c r="D524" s="10"/>
      <c r="E524" s="3"/>
      <c r="F524" s="3" t="str">
        <f>IFERROR(VLOOKUP(E524, [1]Hotels!$A:$B, 2, FALSE),"")</f>
        <v/>
      </c>
      <c r="G524" s="14"/>
      <c r="H524" s="26"/>
      <c r="I524" s="2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26"/>
      <c r="B525" s="3"/>
      <c r="C525" s="3"/>
      <c r="D525" s="10"/>
      <c r="E525" s="3"/>
      <c r="F525" s="3" t="str">
        <f>IFERROR(VLOOKUP(E525, [1]Hotels!$A:$B, 2, FALSE),"")</f>
        <v/>
      </c>
      <c r="G525" s="14"/>
      <c r="H525" s="26"/>
      <c r="I525" s="2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26"/>
      <c r="B526" s="3"/>
      <c r="C526" s="3"/>
      <c r="D526" s="10"/>
      <c r="E526" s="3"/>
      <c r="F526" s="3" t="str">
        <f>IFERROR(VLOOKUP(E526, [1]Hotels!$A:$B, 2, FALSE),"")</f>
        <v/>
      </c>
      <c r="G526" s="14"/>
      <c r="H526" s="26"/>
      <c r="I526" s="2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26"/>
      <c r="B527" s="3"/>
      <c r="C527" s="3"/>
      <c r="D527" s="10"/>
      <c r="E527" s="3"/>
      <c r="F527" s="3" t="str">
        <f>IFERROR(VLOOKUP(E527, [1]Hotels!$A:$B, 2, FALSE),"")</f>
        <v/>
      </c>
      <c r="G527" s="14"/>
      <c r="H527" s="26"/>
      <c r="I527" s="2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26"/>
      <c r="B528" s="3"/>
      <c r="C528" s="3"/>
      <c r="D528" s="10"/>
      <c r="E528" s="3"/>
      <c r="F528" s="3" t="str">
        <f>IFERROR(VLOOKUP(E528, [1]Hotels!$A:$B, 2, FALSE),"")</f>
        <v/>
      </c>
      <c r="G528" s="14"/>
      <c r="H528" s="26"/>
      <c r="I528" s="2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26"/>
      <c r="B529" s="3"/>
      <c r="C529" s="3"/>
      <c r="D529" s="10"/>
      <c r="E529" s="3"/>
      <c r="F529" s="3" t="str">
        <f>IFERROR(VLOOKUP(E529, [1]Hotels!$A:$B, 2, FALSE),"")</f>
        <v/>
      </c>
      <c r="G529" s="14"/>
      <c r="H529" s="26"/>
      <c r="I529" s="2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26"/>
      <c r="B530" s="3"/>
      <c r="C530" s="3"/>
      <c r="D530" s="10"/>
      <c r="E530" s="3"/>
      <c r="F530" s="3" t="str">
        <f>IFERROR(VLOOKUP(E530, [1]Hotels!$A:$B, 2, FALSE),"")</f>
        <v/>
      </c>
      <c r="G530" s="14"/>
      <c r="H530" s="26"/>
      <c r="I530" s="2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26"/>
      <c r="B531" s="3"/>
      <c r="C531" s="3"/>
      <c r="D531" s="10"/>
      <c r="E531" s="3"/>
      <c r="F531" s="3" t="str">
        <f>IFERROR(VLOOKUP(E531, [1]Hotels!$A:$B, 2, FALSE),"")</f>
        <v/>
      </c>
      <c r="G531" s="14"/>
      <c r="H531" s="26"/>
      <c r="I531" s="2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26"/>
      <c r="B532" s="3"/>
      <c r="C532" s="3"/>
      <c r="D532" s="10"/>
      <c r="E532" s="3"/>
      <c r="F532" s="3" t="str">
        <f>IFERROR(VLOOKUP(E532, [1]Hotels!$A:$B, 2, FALSE),"")</f>
        <v/>
      </c>
      <c r="G532" s="14"/>
      <c r="H532" s="26"/>
      <c r="I532" s="2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26"/>
      <c r="B533" s="3"/>
      <c r="C533" s="3"/>
      <c r="D533" s="10"/>
      <c r="E533" s="3"/>
      <c r="F533" s="3" t="str">
        <f>IFERROR(VLOOKUP(E533, [1]Hotels!$A:$B, 2, FALSE),"")</f>
        <v/>
      </c>
      <c r="G533" s="14"/>
      <c r="H533" s="26"/>
      <c r="I533" s="2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26"/>
      <c r="B534" s="3"/>
      <c r="C534" s="3"/>
      <c r="D534" s="10"/>
      <c r="E534" s="3"/>
      <c r="F534" s="3" t="str">
        <f>IFERROR(VLOOKUP(E534, [1]Hotels!$A:$B, 2, FALSE),"")</f>
        <v/>
      </c>
      <c r="G534" s="14"/>
      <c r="H534" s="26"/>
      <c r="I534" s="2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26"/>
      <c r="B535" s="3"/>
      <c r="C535" s="3"/>
      <c r="D535" s="10"/>
      <c r="E535" s="3"/>
      <c r="F535" s="3" t="str">
        <f>IFERROR(VLOOKUP(E535, [1]Hotels!$A:$B, 2, FALSE),"")</f>
        <v/>
      </c>
      <c r="G535" s="14"/>
      <c r="H535" s="26"/>
      <c r="I535" s="2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26"/>
      <c r="B536" s="3"/>
      <c r="C536" s="3"/>
      <c r="D536" s="10"/>
      <c r="E536" s="3"/>
      <c r="F536" s="3" t="str">
        <f>IFERROR(VLOOKUP(E536, [1]Hotels!$A:$B, 2, FALSE),"")</f>
        <v/>
      </c>
      <c r="G536" s="14"/>
      <c r="H536" s="26"/>
      <c r="I536" s="2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26"/>
      <c r="B537" s="3"/>
      <c r="C537" s="3"/>
      <c r="D537" s="10"/>
      <c r="E537" s="3"/>
      <c r="F537" s="3" t="str">
        <f>IFERROR(VLOOKUP(E537, [1]Hotels!$A:$B, 2, FALSE),"")</f>
        <v/>
      </c>
      <c r="G537" s="14"/>
      <c r="H537" s="26"/>
      <c r="I537" s="2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26"/>
      <c r="B538" s="3"/>
      <c r="C538" s="3"/>
      <c r="D538" s="10"/>
      <c r="E538" s="3"/>
      <c r="F538" s="3" t="str">
        <f>IFERROR(VLOOKUP(E538, [1]Hotels!$A:$B, 2, FALSE),"")</f>
        <v/>
      </c>
      <c r="G538" s="14"/>
      <c r="H538" s="26"/>
      <c r="I538" s="2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26"/>
      <c r="B539" s="3"/>
      <c r="C539" s="3"/>
      <c r="D539" s="10"/>
      <c r="E539" s="3"/>
      <c r="F539" s="3" t="str">
        <f>IFERROR(VLOOKUP(E539, [1]Hotels!$A:$B, 2, FALSE),"")</f>
        <v/>
      </c>
      <c r="G539" s="14"/>
      <c r="H539" s="26"/>
      <c r="I539" s="2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26"/>
      <c r="B540" s="3"/>
      <c r="C540" s="3"/>
      <c r="D540" s="10"/>
      <c r="E540" s="3"/>
      <c r="F540" s="3" t="str">
        <f>IFERROR(VLOOKUP(E540, [1]Hotels!$A:$B, 2, FALSE),"")</f>
        <v/>
      </c>
      <c r="G540" s="14"/>
      <c r="H540" s="26"/>
      <c r="I540" s="2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26"/>
      <c r="B541" s="3"/>
      <c r="C541" s="3"/>
      <c r="D541" s="10"/>
      <c r="E541" s="3"/>
      <c r="F541" s="3" t="str">
        <f>IFERROR(VLOOKUP(E541, [1]Hotels!$A:$B, 2, FALSE),"")</f>
        <v/>
      </c>
      <c r="G541" s="14"/>
      <c r="H541" s="26"/>
      <c r="I541" s="2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26"/>
      <c r="B542" s="3"/>
      <c r="C542" s="3"/>
      <c r="D542" s="10"/>
      <c r="E542" s="3"/>
      <c r="F542" s="3" t="str">
        <f>IFERROR(VLOOKUP(E542, [1]Hotels!$A:$B, 2, FALSE),"")</f>
        <v/>
      </c>
      <c r="G542" s="14"/>
      <c r="H542" s="26"/>
      <c r="I542" s="2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26"/>
      <c r="B543" s="3"/>
      <c r="C543" s="3"/>
      <c r="D543" s="10"/>
      <c r="E543" s="3"/>
      <c r="F543" s="3" t="str">
        <f>IFERROR(VLOOKUP(E543, [1]Hotels!$A:$B, 2, FALSE),"")</f>
        <v/>
      </c>
      <c r="G543" s="14"/>
      <c r="H543" s="26"/>
      <c r="I543" s="2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26"/>
      <c r="B544" s="3"/>
      <c r="C544" s="3"/>
      <c r="D544" s="10"/>
      <c r="E544" s="3"/>
      <c r="F544" s="3" t="str">
        <f>IFERROR(VLOOKUP(E544, [1]Hotels!$A:$B, 2, FALSE),"")</f>
        <v/>
      </c>
      <c r="G544" s="14"/>
      <c r="H544" s="26"/>
      <c r="I544" s="2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26"/>
      <c r="B545" s="3"/>
      <c r="C545" s="3"/>
      <c r="D545" s="10"/>
      <c r="E545" s="3"/>
      <c r="F545" s="3" t="str">
        <f>IFERROR(VLOOKUP(E545, [1]Hotels!$A:$B, 2, FALSE),"")</f>
        <v/>
      </c>
      <c r="G545" s="14"/>
      <c r="H545" s="26"/>
      <c r="I545" s="2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26"/>
      <c r="B546" s="3"/>
      <c r="C546" s="3"/>
      <c r="D546" s="10"/>
      <c r="E546" s="3"/>
      <c r="F546" s="3" t="str">
        <f>IFERROR(VLOOKUP(E546, [1]Hotels!$A:$B, 2, FALSE),"")</f>
        <v/>
      </c>
      <c r="G546" s="14"/>
      <c r="H546" s="26"/>
      <c r="I546" s="2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26"/>
      <c r="B547" s="3"/>
      <c r="C547" s="3"/>
      <c r="D547" s="10"/>
      <c r="E547" s="3"/>
      <c r="F547" s="3" t="str">
        <f>IFERROR(VLOOKUP(E547, [1]Hotels!$A:$B, 2, FALSE),"")</f>
        <v/>
      </c>
      <c r="G547" s="14"/>
      <c r="H547" s="26"/>
      <c r="I547" s="2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26"/>
      <c r="B548" s="3"/>
      <c r="C548" s="3"/>
      <c r="D548" s="10"/>
      <c r="E548" s="3"/>
      <c r="F548" s="3" t="str">
        <f>IFERROR(VLOOKUP(E548, [1]Hotels!$A:$B, 2, FALSE),"")</f>
        <v/>
      </c>
      <c r="G548" s="14"/>
      <c r="H548" s="26"/>
      <c r="I548" s="2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26"/>
      <c r="B549" s="3"/>
      <c r="C549" s="3"/>
      <c r="D549" s="10"/>
      <c r="E549" s="3"/>
      <c r="F549" s="3" t="str">
        <f>IFERROR(VLOOKUP(E549, [1]Hotels!$A:$B, 2, FALSE),"")</f>
        <v/>
      </c>
      <c r="G549" s="14"/>
      <c r="H549" s="26"/>
      <c r="I549" s="2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26"/>
      <c r="B550" s="3"/>
      <c r="C550" s="3"/>
      <c r="D550" s="10"/>
      <c r="E550" s="3"/>
      <c r="F550" s="3" t="str">
        <f>IFERROR(VLOOKUP(E550, [1]Hotels!$A:$B, 2, FALSE),"")</f>
        <v/>
      </c>
      <c r="G550" s="14"/>
      <c r="H550" s="26"/>
      <c r="I550" s="2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26"/>
      <c r="B551" s="3"/>
      <c r="C551" s="3"/>
      <c r="D551" s="10"/>
      <c r="E551" s="3"/>
      <c r="F551" s="3" t="str">
        <f>IFERROR(VLOOKUP(E551, [1]Hotels!$A:$B, 2, FALSE),"")</f>
        <v/>
      </c>
      <c r="G551" s="14"/>
      <c r="H551" s="26"/>
      <c r="I551" s="2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26"/>
      <c r="B552" s="3"/>
      <c r="C552" s="3"/>
      <c r="D552" s="10"/>
      <c r="E552" s="3"/>
      <c r="F552" s="3" t="str">
        <f>IFERROR(VLOOKUP(E552, [1]Hotels!$A:$B, 2, FALSE),"")</f>
        <v/>
      </c>
      <c r="G552" s="14"/>
      <c r="H552" s="26"/>
      <c r="I552" s="2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26"/>
      <c r="B553" s="3"/>
      <c r="C553" s="3"/>
      <c r="D553" s="10"/>
      <c r="E553" s="3"/>
      <c r="F553" s="3" t="str">
        <f>IFERROR(VLOOKUP(E553, [1]Hotels!$A:$B, 2, FALSE),"")</f>
        <v/>
      </c>
      <c r="G553" s="14"/>
      <c r="H553" s="26"/>
      <c r="I553" s="2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26"/>
      <c r="B554" s="3"/>
      <c r="C554" s="3"/>
      <c r="D554" s="10"/>
      <c r="E554" s="3"/>
      <c r="F554" s="3" t="str">
        <f>IFERROR(VLOOKUP(E554, [1]Hotels!$A:$B, 2, FALSE),"")</f>
        <v/>
      </c>
      <c r="G554" s="14"/>
      <c r="H554" s="26"/>
      <c r="I554" s="2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26"/>
      <c r="B555" s="3"/>
      <c r="C555" s="3"/>
      <c r="D555" s="10"/>
      <c r="E555" s="3"/>
      <c r="F555" s="3" t="str">
        <f>IFERROR(VLOOKUP(E555, [1]Hotels!$A:$B, 2, FALSE),"")</f>
        <v/>
      </c>
      <c r="G555" s="14"/>
      <c r="H555" s="26"/>
      <c r="I555" s="2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26"/>
      <c r="B556" s="3"/>
      <c r="C556" s="3"/>
      <c r="D556" s="10"/>
      <c r="E556" s="3"/>
      <c r="F556" s="3" t="str">
        <f>IFERROR(VLOOKUP(E556, [1]Hotels!$A:$B, 2, FALSE),"")</f>
        <v/>
      </c>
      <c r="G556" s="14"/>
      <c r="H556" s="26"/>
      <c r="I556" s="2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26"/>
      <c r="B557" s="3"/>
      <c r="C557" s="3"/>
      <c r="D557" s="10"/>
      <c r="E557" s="3"/>
      <c r="F557" s="3" t="str">
        <f>IFERROR(VLOOKUP(E557, [1]Hotels!$A:$B, 2, FALSE),"")</f>
        <v/>
      </c>
      <c r="G557" s="14"/>
      <c r="H557" s="26"/>
      <c r="I557" s="2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26"/>
      <c r="B558" s="3"/>
      <c r="C558" s="3"/>
      <c r="D558" s="10"/>
      <c r="E558" s="3"/>
      <c r="F558" s="3" t="str">
        <f>IFERROR(VLOOKUP(E558, [1]Hotels!$A:$B, 2, FALSE),"")</f>
        <v/>
      </c>
      <c r="G558" s="14"/>
      <c r="H558" s="26"/>
      <c r="I558" s="2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26"/>
      <c r="B559" s="3"/>
      <c r="C559" s="3"/>
      <c r="D559" s="10"/>
      <c r="E559" s="3"/>
      <c r="F559" s="3" t="str">
        <f>IFERROR(VLOOKUP(E559, [1]Hotels!$A:$B, 2, FALSE),"")</f>
        <v/>
      </c>
      <c r="G559" s="14"/>
      <c r="H559" s="26"/>
      <c r="I559" s="2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26"/>
      <c r="B560" s="3"/>
      <c r="C560" s="3"/>
      <c r="D560" s="10"/>
      <c r="E560" s="3"/>
      <c r="F560" s="3" t="str">
        <f>IFERROR(VLOOKUP(E560, [1]Hotels!$A:$B, 2, FALSE),"")</f>
        <v/>
      </c>
      <c r="G560" s="14"/>
      <c r="H560" s="26"/>
      <c r="I560" s="2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26"/>
      <c r="B561" s="3"/>
      <c r="C561" s="3"/>
      <c r="D561" s="10"/>
      <c r="E561" s="3"/>
      <c r="F561" s="3" t="str">
        <f>IFERROR(VLOOKUP(E561, [1]Hotels!$A:$B, 2, FALSE),"")</f>
        <v/>
      </c>
      <c r="G561" s="14"/>
      <c r="H561" s="26"/>
      <c r="I561" s="2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26"/>
      <c r="B562" s="3"/>
      <c r="C562" s="3"/>
      <c r="D562" s="10"/>
      <c r="E562" s="3"/>
      <c r="F562" s="3" t="str">
        <f>IFERROR(VLOOKUP(E562, [1]Hotels!$A:$B, 2, FALSE),"")</f>
        <v/>
      </c>
      <c r="G562" s="14"/>
      <c r="H562" s="26"/>
      <c r="I562" s="2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26"/>
      <c r="B563" s="3"/>
      <c r="C563" s="3"/>
      <c r="D563" s="10"/>
      <c r="E563" s="3"/>
      <c r="F563" s="3" t="str">
        <f>IFERROR(VLOOKUP(E563, [1]Hotels!$A:$B, 2, FALSE),"")</f>
        <v/>
      </c>
      <c r="G563" s="14"/>
      <c r="H563" s="26"/>
      <c r="I563" s="2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26"/>
      <c r="B564" s="3"/>
      <c r="C564" s="3"/>
      <c r="D564" s="10"/>
      <c r="E564" s="3"/>
      <c r="F564" s="3" t="str">
        <f>IFERROR(VLOOKUP(E564, [1]Hotels!$A:$B, 2, FALSE),"")</f>
        <v/>
      </c>
      <c r="G564" s="14"/>
      <c r="H564" s="26"/>
      <c r="I564" s="2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26"/>
      <c r="B565" s="3"/>
      <c r="C565" s="3"/>
      <c r="D565" s="10"/>
      <c r="E565" s="3"/>
      <c r="F565" s="3" t="str">
        <f>IFERROR(VLOOKUP(E565, [1]Hotels!$A:$B, 2, FALSE),"")</f>
        <v/>
      </c>
      <c r="G565" s="14"/>
      <c r="H565" s="26"/>
      <c r="I565" s="2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26"/>
      <c r="B566" s="3"/>
      <c r="C566" s="3"/>
      <c r="D566" s="10"/>
      <c r="E566" s="3"/>
      <c r="F566" s="3" t="str">
        <f>IFERROR(VLOOKUP(E566, [1]Hotels!$A:$B, 2, FALSE),"")</f>
        <v/>
      </c>
      <c r="G566" s="14"/>
      <c r="H566" s="26"/>
      <c r="I566" s="2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26"/>
      <c r="B567" s="3"/>
      <c r="C567" s="3"/>
      <c r="D567" s="10"/>
      <c r="E567" s="3"/>
      <c r="F567" s="3" t="str">
        <f>IFERROR(VLOOKUP(E567, [1]Hotels!$A:$B, 2, FALSE),"")</f>
        <v/>
      </c>
      <c r="G567" s="14"/>
      <c r="H567" s="26"/>
      <c r="I567" s="2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26"/>
      <c r="B568" s="3"/>
      <c r="C568" s="3"/>
      <c r="D568" s="10"/>
      <c r="E568" s="3"/>
      <c r="F568" s="3" t="str">
        <f>IFERROR(VLOOKUP(E568, [1]Hotels!$A:$B, 2, FALSE),"")</f>
        <v/>
      </c>
      <c r="G568" s="14"/>
      <c r="H568" s="26"/>
      <c r="I568" s="2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26"/>
      <c r="B569" s="3"/>
      <c r="C569" s="3"/>
      <c r="D569" s="10"/>
      <c r="E569" s="3"/>
      <c r="F569" s="3" t="str">
        <f>IFERROR(VLOOKUP(E569, [1]Hotels!$A:$B, 2, FALSE),"")</f>
        <v/>
      </c>
      <c r="G569" s="14"/>
      <c r="H569" s="26"/>
      <c r="I569" s="2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26"/>
      <c r="B570" s="3"/>
      <c r="C570" s="3"/>
      <c r="D570" s="10"/>
      <c r="E570" s="3"/>
      <c r="F570" s="3" t="str">
        <f>IFERROR(VLOOKUP(E570, [1]Hotels!$A:$B, 2, FALSE),"")</f>
        <v/>
      </c>
      <c r="G570" s="14"/>
      <c r="H570" s="26"/>
      <c r="I570" s="2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26"/>
      <c r="B571" s="3"/>
      <c r="C571" s="3"/>
      <c r="D571" s="10"/>
      <c r="E571" s="3"/>
      <c r="F571" s="3" t="str">
        <f>IFERROR(VLOOKUP(E571, [1]Hotels!$A:$B, 2, FALSE),"")</f>
        <v/>
      </c>
      <c r="G571" s="14"/>
      <c r="H571" s="26"/>
      <c r="I571" s="2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26"/>
      <c r="B572" s="3"/>
      <c r="C572" s="3"/>
      <c r="D572" s="10"/>
      <c r="E572" s="3"/>
      <c r="F572" s="3" t="str">
        <f>IFERROR(VLOOKUP(E572, [1]Hotels!$A:$B, 2, FALSE),"")</f>
        <v/>
      </c>
      <c r="G572" s="14"/>
      <c r="H572" s="26"/>
      <c r="I572" s="2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26"/>
      <c r="B573" s="3"/>
      <c r="C573" s="3"/>
      <c r="D573" s="10"/>
      <c r="E573" s="3"/>
      <c r="F573" s="3" t="str">
        <f>IFERROR(VLOOKUP(E573, [1]Hotels!$A:$B, 2, FALSE),"")</f>
        <v/>
      </c>
      <c r="G573" s="14"/>
      <c r="H573" s="26"/>
      <c r="I573" s="2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26"/>
      <c r="B574" s="3"/>
      <c r="C574" s="3"/>
      <c r="D574" s="10"/>
      <c r="E574" s="3"/>
      <c r="F574" s="3" t="str">
        <f>IFERROR(VLOOKUP(E574, [1]Hotels!$A:$B, 2, FALSE),"")</f>
        <v/>
      </c>
      <c r="G574" s="14"/>
      <c r="H574" s="26"/>
      <c r="I574" s="2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26"/>
      <c r="B575" s="3"/>
      <c r="C575" s="3"/>
      <c r="D575" s="10"/>
      <c r="E575" s="3"/>
      <c r="F575" s="3" t="str">
        <f>IFERROR(VLOOKUP(E575, [1]Hotels!$A:$B, 2, FALSE),"")</f>
        <v/>
      </c>
      <c r="G575" s="14"/>
      <c r="H575" s="26"/>
      <c r="I575" s="2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26"/>
      <c r="B576" s="3"/>
      <c r="C576" s="3"/>
      <c r="D576" s="10"/>
      <c r="E576" s="3"/>
      <c r="F576" s="3" t="str">
        <f>IFERROR(VLOOKUP(E576, [1]Hotels!$A:$B, 2, FALSE),"")</f>
        <v/>
      </c>
      <c r="G576" s="14"/>
      <c r="H576" s="26"/>
      <c r="I576" s="2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26"/>
      <c r="B577" s="3"/>
      <c r="C577" s="3"/>
      <c r="D577" s="10"/>
      <c r="E577" s="3"/>
      <c r="F577" s="3" t="str">
        <f>IFERROR(VLOOKUP(E577, [1]Hotels!$A:$B, 2, FALSE),"")</f>
        <v/>
      </c>
      <c r="G577" s="14"/>
      <c r="H577" s="26"/>
      <c r="I577" s="2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26"/>
      <c r="B578" s="3"/>
      <c r="C578" s="3"/>
      <c r="D578" s="10"/>
      <c r="E578" s="3"/>
      <c r="F578" s="3" t="str">
        <f>IFERROR(VLOOKUP(E578, [1]Hotels!$A:$B, 2, FALSE),"")</f>
        <v/>
      </c>
      <c r="G578" s="14"/>
      <c r="H578" s="26"/>
      <c r="I578" s="2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26"/>
      <c r="B579" s="3"/>
      <c r="C579" s="3"/>
      <c r="D579" s="10"/>
      <c r="E579" s="3"/>
      <c r="F579" s="3" t="str">
        <f>IFERROR(VLOOKUP(E579, [1]Hotels!$A:$B, 2, FALSE),"")</f>
        <v/>
      </c>
      <c r="G579" s="14"/>
      <c r="H579" s="26"/>
      <c r="I579" s="2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26"/>
      <c r="B580" s="3"/>
      <c r="C580" s="3"/>
      <c r="D580" s="10"/>
      <c r="E580" s="3"/>
      <c r="F580" s="3" t="str">
        <f>IFERROR(VLOOKUP(E580, [1]Hotels!$A:$B, 2, FALSE),"")</f>
        <v/>
      </c>
      <c r="G580" s="14"/>
      <c r="H580" s="26"/>
      <c r="I580" s="2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26"/>
      <c r="B581" s="3"/>
      <c r="C581" s="3"/>
      <c r="D581" s="10"/>
      <c r="E581" s="3"/>
      <c r="F581" s="3" t="str">
        <f>IFERROR(VLOOKUP(E581, [1]Hotels!$A:$B, 2, FALSE),"")</f>
        <v/>
      </c>
      <c r="G581" s="14"/>
      <c r="H581" s="26"/>
      <c r="I581" s="2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26"/>
      <c r="B582" s="3"/>
      <c r="C582" s="3"/>
      <c r="D582" s="10"/>
      <c r="E582" s="3"/>
      <c r="F582" s="3" t="str">
        <f>IFERROR(VLOOKUP(E582, [1]Hotels!$A:$B, 2, FALSE),"")</f>
        <v/>
      </c>
      <c r="G582" s="14"/>
      <c r="H582" s="26"/>
      <c r="I582" s="2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26"/>
      <c r="B583" s="3"/>
      <c r="C583" s="3"/>
      <c r="D583" s="10"/>
      <c r="E583" s="3"/>
      <c r="F583" s="3" t="str">
        <f>IFERROR(VLOOKUP(E583, [1]Hotels!$A:$B, 2, FALSE),"")</f>
        <v/>
      </c>
      <c r="G583" s="14"/>
      <c r="H583" s="26"/>
      <c r="I583" s="2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26"/>
      <c r="B584" s="3"/>
      <c r="C584" s="3"/>
      <c r="D584" s="10"/>
      <c r="E584" s="3"/>
      <c r="F584" s="3" t="str">
        <f>IFERROR(VLOOKUP(E584, [1]Hotels!$A:$B, 2, FALSE),"")</f>
        <v/>
      </c>
      <c r="G584" s="14"/>
      <c r="H584" s="26"/>
      <c r="I584" s="2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26"/>
      <c r="B585" s="3"/>
      <c r="C585" s="3"/>
      <c r="D585" s="10"/>
      <c r="E585" s="3"/>
      <c r="F585" s="3" t="str">
        <f>IFERROR(VLOOKUP(E585, [1]Hotels!$A:$B, 2, FALSE),"")</f>
        <v/>
      </c>
      <c r="G585" s="14"/>
      <c r="H585" s="26"/>
      <c r="I585" s="2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26"/>
      <c r="B586" s="3"/>
      <c r="C586" s="3"/>
      <c r="D586" s="10"/>
      <c r="E586" s="3"/>
      <c r="F586" s="3" t="str">
        <f>IFERROR(VLOOKUP(E586, [1]Hotels!$A:$B, 2, FALSE),"")</f>
        <v/>
      </c>
      <c r="G586" s="14"/>
      <c r="H586" s="26"/>
      <c r="I586" s="2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26"/>
      <c r="B587" s="3"/>
      <c r="C587" s="3"/>
      <c r="D587" s="10"/>
      <c r="E587" s="3"/>
      <c r="F587" s="3" t="str">
        <f>IFERROR(VLOOKUP(E587, [1]Hotels!$A:$B, 2, FALSE),"")</f>
        <v/>
      </c>
      <c r="G587" s="14"/>
      <c r="H587" s="26"/>
      <c r="I587" s="2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26"/>
      <c r="B588" s="3"/>
      <c r="C588" s="3"/>
      <c r="D588" s="10"/>
      <c r="E588" s="3"/>
      <c r="F588" s="3" t="str">
        <f>IFERROR(VLOOKUP(E588, [1]Hotels!$A:$B, 2, FALSE),"")</f>
        <v/>
      </c>
      <c r="G588" s="14"/>
      <c r="H588" s="26"/>
      <c r="I588" s="2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26"/>
      <c r="B589" s="3"/>
      <c r="C589" s="3"/>
      <c r="D589" s="10"/>
      <c r="E589" s="3"/>
      <c r="F589" s="3" t="str">
        <f>IFERROR(VLOOKUP(E589, [1]Hotels!$A:$B, 2, FALSE),"")</f>
        <v/>
      </c>
      <c r="G589" s="14"/>
      <c r="H589" s="26"/>
      <c r="I589" s="2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26"/>
      <c r="B590" s="3"/>
      <c r="C590" s="3"/>
      <c r="D590" s="10"/>
      <c r="E590" s="3"/>
      <c r="F590" s="3" t="str">
        <f>IFERROR(VLOOKUP(E590, [1]Hotels!$A:$B, 2, FALSE),"")</f>
        <v/>
      </c>
      <c r="G590" s="14"/>
      <c r="H590" s="26"/>
      <c r="I590" s="2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26"/>
      <c r="B591" s="3"/>
      <c r="C591" s="3"/>
      <c r="D591" s="10"/>
      <c r="E591" s="3"/>
      <c r="F591" s="3" t="str">
        <f>IFERROR(VLOOKUP(E591, [1]Hotels!$A:$B, 2, FALSE),"")</f>
        <v/>
      </c>
      <c r="G591" s="14"/>
      <c r="H591" s="26"/>
      <c r="I591" s="2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26"/>
      <c r="B592" s="3"/>
      <c r="C592" s="3"/>
      <c r="D592" s="10"/>
      <c r="E592" s="3"/>
      <c r="F592" s="3" t="str">
        <f>IFERROR(VLOOKUP(E592, [1]Hotels!$A:$B, 2, FALSE),"")</f>
        <v/>
      </c>
      <c r="G592" s="14"/>
      <c r="H592" s="26"/>
      <c r="I592" s="2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26"/>
      <c r="B593" s="3"/>
      <c r="C593" s="3"/>
      <c r="D593" s="10"/>
      <c r="E593" s="3"/>
      <c r="F593" s="3" t="str">
        <f>IFERROR(VLOOKUP(E593, [1]Hotels!$A:$B, 2, FALSE),"")</f>
        <v/>
      </c>
      <c r="G593" s="14"/>
      <c r="H593" s="26"/>
      <c r="I593" s="2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26"/>
      <c r="B594" s="3"/>
      <c r="C594" s="3"/>
      <c r="D594" s="10"/>
      <c r="E594" s="3"/>
      <c r="F594" s="3" t="str">
        <f>IFERROR(VLOOKUP(E594, [1]Hotels!$A:$B, 2, FALSE),"")</f>
        <v/>
      </c>
      <c r="G594" s="14"/>
      <c r="H594" s="26"/>
      <c r="I594" s="2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26"/>
      <c r="B595" s="3"/>
      <c r="C595" s="3"/>
      <c r="D595" s="10"/>
      <c r="E595" s="3"/>
      <c r="F595" s="3" t="str">
        <f>IFERROR(VLOOKUP(E595, [1]Hotels!$A:$B, 2, FALSE),"")</f>
        <v/>
      </c>
      <c r="G595" s="14"/>
      <c r="H595" s="26"/>
      <c r="I595" s="2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26"/>
      <c r="B596" s="3"/>
      <c r="C596" s="3"/>
      <c r="D596" s="10"/>
      <c r="E596" s="3"/>
      <c r="F596" s="3" t="str">
        <f>IFERROR(VLOOKUP(E596, [1]Hotels!$A:$B, 2, FALSE),"")</f>
        <v/>
      </c>
      <c r="G596" s="14"/>
      <c r="H596" s="26"/>
      <c r="I596" s="2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26"/>
      <c r="B597" s="3"/>
      <c r="C597" s="3"/>
      <c r="D597" s="10"/>
      <c r="E597" s="3"/>
      <c r="F597" s="3" t="str">
        <f>IFERROR(VLOOKUP(E597, [1]Hotels!$A:$B, 2, FALSE),"")</f>
        <v/>
      </c>
      <c r="G597" s="14"/>
      <c r="H597" s="26"/>
      <c r="I597" s="2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26"/>
      <c r="B598" s="3"/>
      <c r="C598" s="3"/>
      <c r="D598" s="10"/>
      <c r="E598" s="3"/>
      <c r="F598" s="3" t="str">
        <f>IFERROR(VLOOKUP(E598, [1]Hotels!$A:$B, 2, FALSE),"")</f>
        <v/>
      </c>
      <c r="G598" s="14"/>
      <c r="H598" s="26"/>
      <c r="I598" s="2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26"/>
      <c r="B599" s="3"/>
      <c r="C599" s="3"/>
      <c r="D599" s="10"/>
      <c r="E599" s="3"/>
      <c r="F599" s="3" t="str">
        <f>IFERROR(VLOOKUP(E599, [1]Hotels!$A:$B, 2, FALSE),"")</f>
        <v/>
      </c>
      <c r="G599" s="14"/>
      <c r="H599" s="26"/>
      <c r="I599" s="2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26"/>
      <c r="B600" s="3"/>
      <c r="C600" s="3"/>
      <c r="D600" s="10"/>
      <c r="E600" s="3"/>
      <c r="F600" s="3" t="str">
        <f>IFERROR(VLOOKUP(E600, [1]Hotels!$A:$B, 2, FALSE),"")</f>
        <v/>
      </c>
      <c r="G600" s="14"/>
      <c r="H600" s="26"/>
      <c r="I600" s="2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26"/>
      <c r="B601" s="3"/>
      <c r="C601" s="3"/>
      <c r="D601" s="10"/>
      <c r="E601" s="3"/>
      <c r="F601" s="3" t="str">
        <f>IFERROR(VLOOKUP(E601, [1]Hotels!$A:$B, 2, FALSE),"")</f>
        <v/>
      </c>
      <c r="G601" s="14"/>
      <c r="H601" s="26"/>
      <c r="I601" s="2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26"/>
      <c r="B602" s="3"/>
      <c r="C602" s="3"/>
      <c r="D602" s="10"/>
      <c r="E602" s="3"/>
      <c r="F602" s="3" t="str">
        <f>IFERROR(VLOOKUP(E602, [1]Hotels!$A:$B, 2, FALSE),"")</f>
        <v/>
      </c>
      <c r="G602" s="14"/>
      <c r="H602" s="26"/>
      <c r="I602" s="2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26"/>
      <c r="B603" s="3"/>
      <c r="C603" s="3"/>
      <c r="D603" s="10"/>
      <c r="E603" s="3"/>
      <c r="F603" s="3" t="str">
        <f>IFERROR(VLOOKUP(E603, [1]Hotels!$A:$B, 2, FALSE),"")</f>
        <v/>
      </c>
      <c r="G603" s="14"/>
      <c r="H603" s="26"/>
      <c r="I603" s="2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26"/>
      <c r="B604" s="3"/>
      <c r="C604" s="3"/>
      <c r="D604" s="10"/>
      <c r="E604" s="3"/>
      <c r="F604" s="3" t="str">
        <f>IFERROR(VLOOKUP(E604, [1]Hotels!$A:$B, 2, FALSE),"")</f>
        <v/>
      </c>
      <c r="G604" s="14"/>
      <c r="H604" s="26"/>
      <c r="I604" s="2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26"/>
      <c r="B605" s="3"/>
      <c r="C605" s="3"/>
      <c r="D605" s="10"/>
      <c r="E605" s="3"/>
      <c r="F605" s="3" t="str">
        <f>IFERROR(VLOOKUP(E605, [1]Hotels!$A:$B, 2, FALSE),"")</f>
        <v/>
      </c>
      <c r="G605" s="14"/>
      <c r="H605" s="26"/>
      <c r="I605" s="2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26"/>
      <c r="B606" s="3"/>
      <c r="C606" s="3"/>
      <c r="D606" s="10"/>
      <c r="E606" s="3"/>
      <c r="F606" s="3" t="str">
        <f>IFERROR(VLOOKUP(E606, [1]Hotels!$A:$B, 2, FALSE),"")</f>
        <v/>
      </c>
      <c r="G606" s="14"/>
      <c r="H606" s="26"/>
      <c r="I606" s="2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26"/>
      <c r="B607" s="3"/>
      <c r="C607" s="3"/>
      <c r="D607" s="10"/>
      <c r="E607" s="3"/>
      <c r="F607" s="3" t="str">
        <f>IFERROR(VLOOKUP(E607, [1]Hotels!$A:$B, 2, FALSE),"")</f>
        <v/>
      </c>
      <c r="G607" s="14"/>
      <c r="H607" s="26"/>
      <c r="I607" s="2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26"/>
      <c r="B608" s="3"/>
      <c r="C608" s="3"/>
      <c r="D608" s="10"/>
      <c r="E608" s="3"/>
      <c r="F608" s="3" t="str">
        <f>IFERROR(VLOOKUP(E608, [1]Hotels!$A:$B, 2, FALSE),"")</f>
        <v/>
      </c>
      <c r="G608" s="14"/>
      <c r="H608" s="26"/>
      <c r="I608" s="2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26"/>
      <c r="B609" s="3"/>
      <c r="C609" s="3"/>
      <c r="D609" s="10"/>
      <c r="E609" s="3"/>
      <c r="F609" s="3" t="str">
        <f>IFERROR(VLOOKUP(E609, [1]Hotels!$A:$B, 2, FALSE),"")</f>
        <v/>
      </c>
      <c r="G609" s="14"/>
      <c r="H609" s="26"/>
      <c r="I609" s="2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26"/>
      <c r="B610" s="3"/>
      <c r="C610" s="3"/>
      <c r="D610" s="10"/>
      <c r="E610" s="3"/>
      <c r="F610" s="3" t="str">
        <f>IFERROR(VLOOKUP(E610, [1]Hotels!$A:$B, 2, FALSE),"")</f>
        <v/>
      </c>
      <c r="G610" s="14"/>
      <c r="H610" s="26"/>
      <c r="I610" s="2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26"/>
      <c r="B611" s="3"/>
      <c r="C611" s="3"/>
      <c r="D611" s="10"/>
      <c r="E611" s="3"/>
      <c r="F611" s="3" t="str">
        <f>IFERROR(VLOOKUP(E611, [1]Hotels!$A:$B, 2, FALSE),"")</f>
        <v/>
      </c>
      <c r="G611" s="14"/>
      <c r="H611" s="26"/>
      <c r="I611" s="2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26"/>
      <c r="B612" s="3"/>
      <c r="C612" s="3"/>
      <c r="D612" s="10"/>
      <c r="E612" s="3"/>
      <c r="F612" s="3" t="str">
        <f>IFERROR(VLOOKUP(E612, [1]Hotels!$A:$B, 2, FALSE),"")</f>
        <v/>
      </c>
      <c r="G612" s="14"/>
      <c r="H612" s="26"/>
      <c r="I612" s="2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26"/>
      <c r="B613" s="3"/>
      <c r="C613" s="3"/>
      <c r="D613" s="10"/>
      <c r="E613" s="3"/>
      <c r="F613" s="3" t="str">
        <f>IFERROR(VLOOKUP(E613, [1]Hotels!$A:$B, 2, FALSE),"")</f>
        <v/>
      </c>
      <c r="G613" s="14"/>
      <c r="H613" s="26"/>
      <c r="I613" s="2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26"/>
      <c r="B614" s="3"/>
      <c r="C614" s="3"/>
      <c r="D614" s="10"/>
      <c r="E614" s="3"/>
      <c r="F614" s="3" t="str">
        <f>IFERROR(VLOOKUP(E614, [1]Hotels!$A:$B, 2, FALSE),"")</f>
        <v/>
      </c>
      <c r="G614" s="14"/>
      <c r="H614" s="26"/>
      <c r="I614" s="2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26"/>
      <c r="B615" s="3"/>
      <c r="C615" s="3"/>
      <c r="D615" s="10"/>
      <c r="E615" s="3"/>
      <c r="F615" s="3" t="str">
        <f>IFERROR(VLOOKUP(E615, [1]Hotels!$A:$B, 2, FALSE),"")</f>
        <v/>
      </c>
      <c r="G615" s="14"/>
      <c r="H615" s="26"/>
      <c r="I615" s="2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26"/>
      <c r="B616" s="3"/>
      <c r="C616" s="3"/>
      <c r="D616" s="10"/>
      <c r="E616" s="3"/>
      <c r="F616" s="3" t="str">
        <f>IFERROR(VLOOKUP(E616, [1]Hotels!$A:$B, 2, FALSE),"")</f>
        <v/>
      </c>
      <c r="G616" s="14"/>
      <c r="H616" s="26"/>
      <c r="I616" s="2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26"/>
      <c r="B617" s="3"/>
      <c r="C617" s="3"/>
      <c r="D617" s="10"/>
      <c r="E617" s="3"/>
      <c r="F617" s="3" t="str">
        <f>IFERROR(VLOOKUP(E617, [1]Hotels!$A:$B, 2, FALSE),"")</f>
        <v/>
      </c>
      <c r="G617" s="14"/>
      <c r="H617" s="26"/>
      <c r="I617" s="2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26"/>
      <c r="B618" s="3"/>
      <c r="C618" s="3"/>
      <c r="D618" s="10"/>
      <c r="E618" s="3"/>
      <c r="F618" s="3" t="str">
        <f>IFERROR(VLOOKUP(E618, [1]Hotels!$A:$B, 2, FALSE),"")</f>
        <v/>
      </c>
      <c r="G618" s="14"/>
      <c r="H618" s="26"/>
      <c r="I618" s="2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26"/>
      <c r="B619" s="3"/>
      <c r="C619" s="3"/>
      <c r="D619" s="10"/>
      <c r="E619" s="3"/>
      <c r="F619" s="3" t="str">
        <f>IFERROR(VLOOKUP(E619, [1]Hotels!$A:$B, 2, FALSE),"")</f>
        <v/>
      </c>
      <c r="G619" s="14"/>
      <c r="H619" s="26"/>
      <c r="I619" s="2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26"/>
      <c r="B620" s="3"/>
      <c r="C620" s="3"/>
      <c r="D620" s="10"/>
      <c r="E620" s="3"/>
      <c r="F620" s="3" t="str">
        <f>IFERROR(VLOOKUP(E620, [1]Hotels!$A:$B, 2, FALSE),"")</f>
        <v/>
      </c>
      <c r="G620" s="14"/>
      <c r="H620" s="26"/>
      <c r="I620" s="2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26"/>
      <c r="B621" s="3"/>
      <c r="C621" s="3"/>
      <c r="D621" s="10"/>
      <c r="E621" s="3"/>
      <c r="F621" s="3" t="str">
        <f>IFERROR(VLOOKUP(E621, [1]Hotels!$A:$B, 2, FALSE),"")</f>
        <v/>
      </c>
      <c r="G621" s="14"/>
      <c r="H621" s="26"/>
      <c r="I621" s="2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26"/>
      <c r="B622" s="3"/>
      <c r="C622" s="3"/>
      <c r="D622" s="10"/>
      <c r="E622" s="3"/>
      <c r="F622" s="3" t="str">
        <f>IFERROR(VLOOKUP(E622, [1]Hotels!$A:$B, 2, FALSE),"")</f>
        <v/>
      </c>
      <c r="G622" s="14"/>
      <c r="H622" s="26"/>
      <c r="I622" s="2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26"/>
      <c r="B623" s="3"/>
      <c r="C623" s="3"/>
      <c r="D623" s="10"/>
      <c r="E623" s="3"/>
      <c r="F623" s="3" t="str">
        <f>IFERROR(VLOOKUP(E623, [1]Hotels!$A:$B, 2, FALSE),"")</f>
        <v/>
      </c>
      <c r="G623" s="14"/>
      <c r="H623" s="26"/>
      <c r="I623" s="2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26"/>
      <c r="B624" s="3"/>
      <c r="C624" s="3"/>
      <c r="D624" s="10"/>
      <c r="E624" s="3"/>
      <c r="F624" s="3" t="str">
        <f>IFERROR(VLOOKUP(E624, [1]Hotels!$A:$B, 2, FALSE),"")</f>
        <v/>
      </c>
      <c r="G624" s="14"/>
      <c r="H624" s="26"/>
      <c r="I624" s="2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26"/>
      <c r="B625" s="3"/>
      <c r="C625" s="3"/>
      <c r="D625" s="10"/>
      <c r="E625" s="3"/>
      <c r="F625" s="3" t="str">
        <f>IFERROR(VLOOKUP(E625, [1]Hotels!$A:$B, 2, FALSE),"")</f>
        <v/>
      </c>
      <c r="G625" s="14"/>
      <c r="H625" s="26"/>
      <c r="I625" s="2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26"/>
      <c r="B626" s="3"/>
      <c r="C626" s="3"/>
      <c r="D626" s="10"/>
      <c r="E626" s="3"/>
      <c r="F626" s="3" t="str">
        <f>IFERROR(VLOOKUP(E626, [1]Hotels!$A:$B, 2, FALSE),"")</f>
        <v/>
      </c>
      <c r="G626" s="14"/>
      <c r="H626" s="26"/>
      <c r="I626" s="2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26"/>
      <c r="B627" s="3"/>
      <c r="C627" s="3"/>
      <c r="D627" s="10"/>
      <c r="E627" s="3"/>
      <c r="F627" s="3" t="str">
        <f>IFERROR(VLOOKUP(E627, [1]Hotels!$A:$B, 2, FALSE),"")</f>
        <v/>
      </c>
      <c r="G627" s="14"/>
      <c r="H627" s="26"/>
      <c r="I627" s="2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26"/>
      <c r="B628" s="3"/>
      <c r="C628" s="3"/>
      <c r="D628" s="10"/>
      <c r="E628" s="3"/>
      <c r="F628" s="3" t="str">
        <f>IFERROR(VLOOKUP(E628, [1]Hotels!$A:$B, 2, FALSE),"")</f>
        <v/>
      </c>
      <c r="G628" s="14"/>
      <c r="H628" s="26"/>
      <c r="I628" s="2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26"/>
      <c r="B629" s="3"/>
      <c r="C629" s="3"/>
      <c r="D629" s="10"/>
      <c r="E629" s="3"/>
      <c r="F629" s="3" t="str">
        <f>IFERROR(VLOOKUP(E629, [1]Hotels!$A:$B, 2, FALSE),"")</f>
        <v/>
      </c>
      <c r="G629" s="14"/>
      <c r="H629" s="26"/>
      <c r="I629" s="2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26"/>
      <c r="B630" s="3"/>
      <c r="C630" s="3"/>
      <c r="D630" s="10"/>
      <c r="E630" s="3"/>
      <c r="F630" s="3" t="str">
        <f>IFERROR(VLOOKUP(E630, [1]Hotels!$A:$B, 2, FALSE),"")</f>
        <v/>
      </c>
      <c r="G630" s="14"/>
      <c r="H630" s="26"/>
      <c r="I630" s="2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26"/>
      <c r="B631" s="3"/>
      <c r="C631" s="3"/>
      <c r="D631" s="10"/>
      <c r="E631" s="3"/>
      <c r="F631" s="3" t="str">
        <f>IFERROR(VLOOKUP(E631, [1]Hotels!$A:$B, 2, FALSE),"")</f>
        <v/>
      </c>
      <c r="G631" s="14"/>
      <c r="H631" s="26"/>
      <c r="I631" s="2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26"/>
      <c r="B632" s="3"/>
      <c r="C632" s="3"/>
      <c r="D632" s="10"/>
      <c r="E632" s="3"/>
      <c r="F632" s="3" t="str">
        <f>IFERROR(VLOOKUP(E632, [1]Hotels!$A:$B, 2, FALSE),"")</f>
        <v/>
      </c>
      <c r="G632" s="14"/>
      <c r="H632" s="26"/>
      <c r="I632" s="2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26"/>
      <c r="B633" s="3"/>
      <c r="C633" s="3"/>
      <c r="D633" s="10"/>
      <c r="E633" s="3"/>
      <c r="F633" s="3" t="str">
        <f>IFERROR(VLOOKUP(E633, [1]Hotels!$A:$B, 2, FALSE),"")</f>
        <v/>
      </c>
      <c r="G633" s="14"/>
      <c r="H633" s="26"/>
      <c r="I633" s="2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26"/>
      <c r="B634" s="3"/>
      <c r="C634" s="3"/>
      <c r="D634" s="10"/>
      <c r="E634" s="3"/>
      <c r="F634" s="3" t="str">
        <f>IFERROR(VLOOKUP(E634, [1]Hotels!$A:$B, 2, FALSE),"")</f>
        <v/>
      </c>
      <c r="G634" s="14"/>
      <c r="H634" s="26"/>
      <c r="I634" s="2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26"/>
      <c r="B635" s="3"/>
      <c r="C635" s="3"/>
      <c r="D635" s="10"/>
      <c r="E635" s="3"/>
      <c r="F635" s="3" t="str">
        <f>IFERROR(VLOOKUP(E635, [1]Hotels!$A:$B, 2, FALSE),"")</f>
        <v/>
      </c>
      <c r="G635" s="14"/>
      <c r="H635" s="26"/>
      <c r="I635" s="2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26"/>
      <c r="B636" s="3"/>
      <c r="C636" s="3"/>
      <c r="D636" s="10"/>
      <c r="E636" s="3"/>
      <c r="F636" s="3" t="str">
        <f>IFERROR(VLOOKUP(E636, [1]Hotels!$A:$B, 2, FALSE),"")</f>
        <v/>
      </c>
      <c r="G636" s="14"/>
      <c r="H636" s="26"/>
      <c r="I636" s="2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26"/>
      <c r="B637" s="3"/>
      <c r="C637" s="3"/>
      <c r="D637" s="10"/>
      <c r="E637" s="3"/>
      <c r="F637" s="3" t="str">
        <f>IFERROR(VLOOKUP(E637, [1]Hotels!$A:$B, 2, FALSE),"")</f>
        <v/>
      </c>
      <c r="G637" s="14"/>
      <c r="H637" s="26"/>
      <c r="I637" s="2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26"/>
      <c r="B638" s="3"/>
      <c r="C638" s="3"/>
      <c r="D638" s="10"/>
      <c r="E638" s="3"/>
      <c r="F638" s="3" t="str">
        <f>IFERROR(VLOOKUP(E638, [1]Hotels!$A:$B, 2, FALSE),"")</f>
        <v/>
      </c>
      <c r="G638" s="14"/>
      <c r="H638" s="26"/>
      <c r="I638" s="2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26"/>
      <c r="B639" s="3"/>
      <c r="C639" s="3"/>
      <c r="D639" s="10"/>
      <c r="E639" s="3"/>
      <c r="F639" s="3" t="str">
        <f>IFERROR(VLOOKUP(E639, [1]Hotels!$A:$B, 2, FALSE),"")</f>
        <v/>
      </c>
      <c r="G639" s="14"/>
      <c r="H639" s="26"/>
      <c r="I639" s="2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26"/>
      <c r="B640" s="3"/>
      <c r="C640" s="3"/>
      <c r="D640" s="10"/>
      <c r="E640" s="3"/>
      <c r="F640" s="3" t="str">
        <f>IFERROR(VLOOKUP(E640, [1]Hotels!$A:$B, 2, FALSE),"")</f>
        <v/>
      </c>
      <c r="G640" s="14"/>
      <c r="H640" s="26"/>
      <c r="I640" s="2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26"/>
      <c r="B641" s="3"/>
      <c r="C641" s="3"/>
      <c r="D641" s="10"/>
      <c r="E641" s="3"/>
      <c r="F641" s="3" t="str">
        <f>IFERROR(VLOOKUP(E641, [1]Hotels!$A:$B, 2, FALSE),"")</f>
        <v/>
      </c>
      <c r="G641" s="14"/>
      <c r="H641" s="26"/>
      <c r="I641" s="2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26"/>
      <c r="B642" s="3"/>
      <c r="C642" s="3"/>
      <c r="D642" s="10"/>
      <c r="E642" s="3"/>
      <c r="F642" s="3" t="str">
        <f>IFERROR(VLOOKUP(E642, [1]Hotels!$A:$B, 2, FALSE),"")</f>
        <v/>
      </c>
      <c r="G642" s="14"/>
      <c r="H642" s="26"/>
      <c r="I642" s="2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26"/>
      <c r="B643" s="3"/>
      <c r="C643" s="3"/>
      <c r="D643" s="10"/>
      <c r="E643" s="3"/>
      <c r="F643" s="3" t="str">
        <f>IFERROR(VLOOKUP(E643, [1]Hotels!$A:$B, 2, FALSE),"")</f>
        <v/>
      </c>
      <c r="G643" s="14"/>
      <c r="H643" s="26"/>
      <c r="I643" s="2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26"/>
      <c r="B644" s="3"/>
      <c r="C644" s="3"/>
      <c r="D644" s="10"/>
      <c r="E644" s="3"/>
      <c r="F644" s="3" t="str">
        <f>IFERROR(VLOOKUP(E644, [1]Hotels!$A:$B, 2, FALSE),"")</f>
        <v/>
      </c>
      <c r="G644" s="14"/>
      <c r="H644" s="26"/>
      <c r="I644" s="2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26"/>
      <c r="B645" s="3"/>
      <c r="C645" s="3"/>
      <c r="D645" s="10"/>
      <c r="E645" s="3"/>
      <c r="F645" s="3" t="str">
        <f>IFERROR(VLOOKUP(E645, [1]Hotels!$A:$B, 2, FALSE),"")</f>
        <v/>
      </c>
      <c r="G645" s="14"/>
      <c r="H645" s="26"/>
      <c r="I645" s="2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26"/>
      <c r="B646" s="3"/>
      <c r="C646" s="3"/>
      <c r="D646" s="10"/>
      <c r="E646" s="3"/>
      <c r="F646" s="3" t="str">
        <f>IFERROR(VLOOKUP(E646, [1]Hotels!$A:$B, 2, FALSE),"")</f>
        <v/>
      </c>
      <c r="G646" s="14"/>
      <c r="H646" s="26"/>
      <c r="I646" s="2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26"/>
      <c r="B647" s="3"/>
      <c r="C647" s="3"/>
      <c r="D647" s="10"/>
      <c r="E647" s="3"/>
      <c r="F647" s="3" t="str">
        <f>IFERROR(VLOOKUP(E647, [1]Hotels!$A:$B, 2, FALSE),"")</f>
        <v/>
      </c>
      <c r="G647" s="14"/>
      <c r="H647" s="26"/>
      <c r="I647" s="2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26"/>
      <c r="B648" s="3"/>
      <c r="C648" s="3"/>
      <c r="D648" s="10"/>
      <c r="E648" s="3"/>
      <c r="F648" s="3" t="str">
        <f>IFERROR(VLOOKUP(E648, [1]Hotels!$A:$B, 2, FALSE),"")</f>
        <v/>
      </c>
      <c r="G648" s="14"/>
      <c r="H648" s="26"/>
      <c r="I648" s="2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26"/>
      <c r="B649" s="3"/>
      <c r="C649" s="3"/>
      <c r="D649" s="10"/>
      <c r="E649" s="3"/>
      <c r="F649" s="3" t="str">
        <f>IFERROR(VLOOKUP(E649, [1]Hotels!$A:$B, 2, FALSE),"")</f>
        <v/>
      </c>
      <c r="G649" s="14"/>
      <c r="H649" s="26"/>
      <c r="I649" s="2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26"/>
      <c r="B650" s="3"/>
      <c r="C650" s="3"/>
      <c r="D650" s="10"/>
      <c r="E650" s="3"/>
      <c r="F650" s="3" t="str">
        <f>IFERROR(VLOOKUP(E650, [1]Hotels!$A:$B, 2, FALSE),"")</f>
        <v/>
      </c>
      <c r="G650" s="14"/>
      <c r="H650" s="26"/>
      <c r="I650" s="2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26"/>
      <c r="B651" s="3"/>
      <c r="C651" s="3"/>
      <c r="D651" s="10"/>
      <c r="E651" s="3"/>
      <c r="F651" s="3" t="str">
        <f>IFERROR(VLOOKUP(E651, [1]Hotels!$A:$B, 2, FALSE),"")</f>
        <v/>
      </c>
      <c r="G651" s="14"/>
      <c r="H651" s="26"/>
      <c r="I651" s="2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26"/>
      <c r="B652" s="3"/>
      <c r="C652" s="3"/>
      <c r="D652" s="10"/>
      <c r="E652" s="3"/>
      <c r="F652" s="3" t="str">
        <f>IFERROR(VLOOKUP(E652, [1]Hotels!$A:$B, 2, FALSE),"")</f>
        <v/>
      </c>
      <c r="G652" s="14"/>
      <c r="H652" s="26"/>
      <c r="I652" s="2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26"/>
      <c r="B653" s="3"/>
      <c r="C653" s="3"/>
      <c r="D653" s="10"/>
      <c r="E653" s="3"/>
      <c r="F653" s="3" t="str">
        <f>IFERROR(VLOOKUP(E653, [1]Hotels!$A:$B, 2, FALSE),"")</f>
        <v/>
      </c>
      <c r="G653" s="14"/>
      <c r="H653" s="26"/>
      <c r="I653" s="2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26"/>
      <c r="B654" s="3"/>
      <c r="C654" s="3"/>
      <c r="D654" s="10"/>
      <c r="E654" s="3"/>
      <c r="F654" s="3" t="str">
        <f>IFERROR(VLOOKUP(E654, [1]Hotels!$A:$B, 2, FALSE),"")</f>
        <v/>
      </c>
      <c r="G654" s="14"/>
      <c r="H654" s="26"/>
      <c r="I654" s="2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26"/>
      <c r="B655" s="3"/>
      <c r="C655" s="3"/>
      <c r="D655" s="10"/>
      <c r="E655" s="3"/>
      <c r="F655" s="3" t="str">
        <f>IFERROR(VLOOKUP(E655, [1]Hotels!$A:$B, 2, FALSE),"")</f>
        <v/>
      </c>
      <c r="G655" s="14"/>
      <c r="H655" s="26"/>
      <c r="I655" s="2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26"/>
      <c r="B656" s="3"/>
      <c r="C656" s="3"/>
      <c r="D656" s="10"/>
      <c r="E656" s="3"/>
      <c r="F656" s="3" t="str">
        <f>IFERROR(VLOOKUP(E656, [1]Hotels!$A:$B, 2, FALSE),"")</f>
        <v/>
      </c>
      <c r="G656" s="14"/>
      <c r="H656" s="26"/>
      <c r="I656" s="2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26"/>
      <c r="B657" s="3"/>
      <c r="C657" s="3"/>
      <c r="D657" s="10"/>
      <c r="E657" s="3"/>
      <c r="F657" s="3" t="str">
        <f>IFERROR(VLOOKUP(E657, [1]Hotels!$A:$B, 2, FALSE),"")</f>
        <v/>
      </c>
      <c r="G657" s="14"/>
      <c r="H657" s="26"/>
      <c r="I657" s="2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26"/>
      <c r="B658" s="3"/>
      <c r="C658" s="3"/>
      <c r="D658" s="10"/>
      <c r="E658" s="3"/>
      <c r="F658" s="3" t="str">
        <f>IFERROR(VLOOKUP(E658, [1]Hotels!$A:$B, 2, FALSE),"")</f>
        <v/>
      </c>
      <c r="G658" s="14"/>
      <c r="H658" s="26"/>
      <c r="I658" s="2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26"/>
      <c r="B659" s="3"/>
      <c r="C659" s="3"/>
      <c r="D659" s="10"/>
      <c r="E659" s="3"/>
      <c r="F659" s="3" t="str">
        <f>IFERROR(VLOOKUP(E659, [1]Hotels!$A:$B, 2, FALSE),"")</f>
        <v/>
      </c>
      <c r="G659" s="14"/>
      <c r="H659" s="26"/>
      <c r="I659" s="2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26"/>
      <c r="B660" s="3"/>
      <c r="C660" s="3"/>
      <c r="D660" s="10"/>
      <c r="E660" s="3"/>
      <c r="F660" s="3" t="str">
        <f>IFERROR(VLOOKUP(E660, [1]Hotels!$A:$B, 2, FALSE),"")</f>
        <v/>
      </c>
      <c r="G660" s="14"/>
      <c r="H660" s="26"/>
      <c r="I660" s="2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26"/>
      <c r="B661" s="3"/>
      <c r="C661" s="3"/>
      <c r="D661" s="10"/>
      <c r="E661" s="3"/>
      <c r="F661" s="3" t="str">
        <f>IFERROR(VLOOKUP(E661, [1]Hotels!$A:$B, 2, FALSE),"")</f>
        <v/>
      </c>
      <c r="G661" s="14"/>
      <c r="H661" s="26"/>
      <c r="I661" s="2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26"/>
      <c r="B662" s="3"/>
      <c r="C662" s="3"/>
      <c r="D662" s="10"/>
      <c r="E662" s="3"/>
      <c r="F662" s="3" t="str">
        <f>IFERROR(VLOOKUP(E662, [1]Hotels!$A:$B, 2, FALSE),"")</f>
        <v/>
      </c>
      <c r="G662" s="14"/>
      <c r="H662" s="26"/>
      <c r="I662" s="2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26"/>
      <c r="B663" s="3"/>
      <c r="C663" s="3"/>
      <c r="D663" s="10"/>
      <c r="E663" s="3"/>
      <c r="F663" s="3" t="str">
        <f>IFERROR(VLOOKUP(E663, [1]Hotels!$A:$B, 2, FALSE),"")</f>
        <v/>
      </c>
      <c r="G663" s="14"/>
      <c r="H663" s="26"/>
      <c r="I663" s="2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26"/>
      <c r="B664" s="3"/>
      <c r="C664" s="3"/>
      <c r="D664" s="10"/>
      <c r="E664" s="3"/>
      <c r="F664" s="3" t="str">
        <f>IFERROR(VLOOKUP(E664, [1]Hotels!$A:$B, 2, FALSE),"")</f>
        <v/>
      </c>
      <c r="G664" s="14"/>
      <c r="H664" s="26"/>
      <c r="I664" s="2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26"/>
      <c r="B665" s="3"/>
      <c r="C665" s="3"/>
      <c r="D665" s="10"/>
      <c r="E665" s="3"/>
      <c r="F665" s="3" t="str">
        <f>IFERROR(VLOOKUP(E665, [1]Hotels!$A:$B, 2, FALSE),"")</f>
        <v/>
      </c>
      <c r="G665" s="14"/>
      <c r="H665" s="26"/>
      <c r="I665" s="2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26"/>
      <c r="B666" s="3"/>
      <c r="C666" s="3"/>
      <c r="D666" s="10"/>
      <c r="E666" s="3"/>
      <c r="F666" s="3" t="str">
        <f>IFERROR(VLOOKUP(E666, [1]Hotels!$A:$B, 2, FALSE),"")</f>
        <v/>
      </c>
      <c r="G666" s="14"/>
      <c r="H666" s="26"/>
      <c r="I666" s="2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26"/>
      <c r="B667" s="3"/>
      <c r="C667" s="3"/>
      <c r="D667" s="10"/>
      <c r="E667" s="3"/>
      <c r="F667" s="3" t="str">
        <f>IFERROR(VLOOKUP(E667, [1]Hotels!$A:$B, 2, FALSE),"")</f>
        <v/>
      </c>
      <c r="G667" s="14"/>
      <c r="H667" s="26"/>
      <c r="I667" s="2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26"/>
      <c r="B668" s="3"/>
      <c r="C668" s="3"/>
      <c r="D668" s="10"/>
      <c r="E668" s="3"/>
      <c r="F668" s="3" t="str">
        <f>IFERROR(VLOOKUP(E668, [1]Hotels!$A:$B, 2, FALSE),"")</f>
        <v/>
      </c>
      <c r="G668" s="14"/>
      <c r="H668" s="26"/>
      <c r="I668" s="2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26"/>
      <c r="B669" s="3"/>
      <c r="C669" s="3"/>
      <c r="D669" s="10"/>
      <c r="E669" s="3"/>
      <c r="F669" s="3" t="str">
        <f>IFERROR(VLOOKUP(E669, [1]Hotels!$A:$B, 2, FALSE),"")</f>
        <v/>
      </c>
      <c r="G669" s="14"/>
      <c r="H669" s="26"/>
      <c r="I669" s="2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26"/>
      <c r="B670" s="3"/>
      <c r="C670" s="3"/>
      <c r="D670" s="10"/>
      <c r="E670" s="3"/>
      <c r="F670" s="3" t="str">
        <f>IFERROR(VLOOKUP(E670, [1]Hotels!$A:$B, 2, FALSE),"")</f>
        <v/>
      </c>
      <c r="G670" s="14"/>
      <c r="H670" s="26"/>
      <c r="I670" s="2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26"/>
      <c r="B671" s="3"/>
      <c r="C671" s="3"/>
      <c r="D671" s="10"/>
      <c r="E671" s="3"/>
      <c r="F671" s="3" t="str">
        <f>IFERROR(VLOOKUP(E671, [1]Hotels!$A:$B, 2, FALSE),"")</f>
        <v/>
      </c>
      <c r="G671" s="14"/>
      <c r="H671" s="26"/>
      <c r="I671" s="2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26"/>
      <c r="B672" s="3"/>
      <c r="C672" s="3"/>
      <c r="D672" s="10"/>
      <c r="E672" s="3"/>
      <c r="F672" s="3" t="str">
        <f>IFERROR(VLOOKUP(E672, [1]Hotels!$A:$B, 2, FALSE),"")</f>
        <v/>
      </c>
      <c r="G672" s="14"/>
      <c r="H672" s="26"/>
      <c r="I672" s="2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26"/>
      <c r="B673" s="3"/>
      <c r="C673" s="3"/>
      <c r="D673" s="10"/>
      <c r="E673" s="3"/>
      <c r="F673" s="3" t="str">
        <f>IFERROR(VLOOKUP(E673, [1]Hotels!$A:$B, 2, FALSE),"")</f>
        <v/>
      </c>
      <c r="G673" s="14"/>
      <c r="H673" s="26"/>
      <c r="I673" s="2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26"/>
      <c r="B674" s="3"/>
      <c r="C674" s="3"/>
      <c r="D674" s="10"/>
      <c r="E674" s="3"/>
      <c r="F674" s="3" t="str">
        <f>IFERROR(VLOOKUP(E674, [1]Hotels!$A:$B, 2, FALSE),"")</f>
        <v/>
      </c>
      <c r="G674" s="14"/>
      <c r="H674" s="26"/>
      <c r="I674" s="2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26"/>
      <c r="B675" s="3"/>
      <c r="C675" s="3"/>
      <c r="D675" s="10"/>
      <c r="E675" s="3"/>
      <c r="F675" s="3" t="str">
        <f>IFERROR(VLOOKUP(E675, [1]Hotels!$A:$B, 2, FALSE),"")</f>
        <v/>
      </c>
      <c r="G675" s="14"/>
      <c r="H675" s="26"/>
      <c r="I675" s="2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26"/>
      <c r="B676" s="3"/>
      <c r="C676" s="3"/>
      <c r="D676" s="10"/>
      <c r="E676" s="3"/>
      <c r="F676" s="3" t="str">
        <f>IFERROR(VLOOKUP(E676, [1]Hotels!$A:$B, 2, FALSE),"")</f>
        <v/>
      </c>
      <c r="G676" s="14"/>
      <c r="H676" s="26"/>
      <c r="I676" s="2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26"/>
      <c r="B677" s="3"/>
      <c r="C677" s="3"/>
      <c r="D677" s="10"/>
      <c r="E677" s="3"/>
      <c r="F677" s="3" t="str">
        <f>IFERROR(VLOOKUP(E677, [1]Hotels!$A:$B, 2, FALSE),"")</f>
        <v/>
      </c>
      <c r="G677" s="14"/>
      <c r="H677" s="26"/>
      <c r="I677" s="2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26"/>
      <c r="B678" s="3"/>
      <c r="C678" s="3"/>
      <c r="D678" s="10"/>
      <c r="E678" s="3"/>
      <c r="F678" s="3" t="str">
        <f>IFERROR(VLOOKUP(E678, [1]Hotels!$A:$B, 2, FALSE),"")</f>
        <v/>
      </c>
      <c r="G678" s="14"/>
      <c r="H678" s="26"/>
      <c r="I678" s="2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26"/>
      <c r="B679" s="3"/>
      <c r="C679" s="3"/>
      <c r="D679" s="10"/>
      <c r="E679" s="3"/>
      <c r="F679" s="3" t="str">
        <f>IFERROR(VLOOKUP(E679, [1]Hotels!$A:$B, 2, FALSE),"")</f>
        <v/>
      </c>
      <c r="G679" s="14"/>
      <c r="H679" s="26"/>
      <c r="I679" s="2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26"/>
      <c r="B680" s="3"/>
      <c r="C680" s="3"/>
      <c r="D680" s="10"/>
      <c r="E680" s="3"/>
      <c r="F680" s="3" t="str">
        <f>IFERROR(VLOOKUP(E680, [1]Hotels!$A:$B, 2, FALSE),"")</f>
        <v/>
      </c>
      <c r="G680" s="14"/>
      <c r="H680" s="26"/>
      <c r="I680" s="2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26"/>
      <c r="B681" s="3"/>
      <c r="C681" s="3"/>
      <c r="D681" s="10"/>
      <c r="E681" s="3"/>
      <c r="F681" s="3" t="str">
        <f>IFERROR(VLOOKUP(E681, [1]Hotels!$A:$B, 2, FALSE),"")</f>
        <v/>
      </c>
      <c r="G681" s="14"/>
      <c r="H681" s="26"/>
      <c r="I681" s="2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26"/>
      <c r="B682" s="3"/>
      <c r="C682" s="3"/>
      <c r="D682" s="10"/>
      <c r="E682" s="3"/>
      <c r="F682" s="3" t="str">
        <f>IFERROR(VLOOKUP(E682, [1]Hotels!$A:$B, 2, FALSE),"")</f>
        <v/>
      </c>
      <c r="G682" s="14"/>
      <c r="H682" s="26"/>
      <c r="I682" s="2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26"/>
      <c r="B683" s="3"/>
      <c r="C683" s="3"/>
      <c r="D683" s="10"/>
      <c r="E683" s="3"/>
      <c r="F683" s="3" t="str">
        <f>IFERROR(VLOOKUP(E683, [1]Hotels!$A:$B, 2, FALSE),"")</f>
        <v/>
      </c>
      <c r="G683" s="14"/>
      <c r="H683" s="26"/>
      <c r="I683" s="2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26"/>
      <c r="B684" s="3"/>
      <c r="C684" s="3"/>
      <c r="D684" s="10"/>
      <c r="E684" s="3"/>
      <c r="F684" s="3" t="str">
        <f>IFERROR(VLOOKUP(E684, [1]Hotels!$A:$B, 2, FALSE),"")</f>
        <v/>
      </c>
      <c r="G684" s="14"/>
      <c r="H684" s="26"/>
      <c r="I684" s="2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26"/>
      <c r="B685" s="3"/>
      <c r="C685" s="3"/>
      <c r="D685" s="10"/>
      <c r="E685" s="3"/>
      <c r="F685" s="3" t="str">
        <f>IFERROR(VLOOKUP(E685, [1]Hotels!$A:$B, 2, FALSE),"")</f>
        <v/>
      </c>
      <c r="G685" s="14"/>
      <c r="H685" s="26"/>
      <c r="I685" s="2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26"/>
      <c r="B686" s="3"/>
      <c r="C686" s="3"/>
      <c r="D686" s="10"/>
      <c r="E686" s="3"/>
      <c r="F686" s="3" t="str">
        <f>IFERROR(VLOOKUP(E686, [1]Hotels!$A:$B, 2, FALSE),"")</f>
        <v/>
      </c>
      <c r="G686" s="14"/>
      <c r="H686" s="26"/>
      <c r="I686" s="2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26"/>
      <c r="B687" s="3"/>
      <c r="C687" s="3"/>
      <c r="D687" s="10"/>
      <c r="E687" s="3"/>
      <c r="F687" s="3" t="str">
        <f>IFERROR(VLOOKUP(E687, [1]Hotels!$A:$B, 2, FALSE),"")</f>
        <v/>
      </c>
      <c r="G687" s="14"/>
      <c r="H687" s="26"/>
      <c r="I687" s="2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26"/>
      <c r="B688" s="3"/>
      <c r="C688" s="3"/>
      <c r="D688" s="10"/>
      <c r="E688" s="3"/>
      <c r="F688" s="3" t="str">
        <f>IFERROR(VLOOKUP(E688, [1]Hotels!$A:$B, 2, FALSE),"")</f>
        <v/>
      </c>
      <c r="G688" s="14"/>
      <c r="H688" s="26"/>
      <c r="I688" s="2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26"/>
      <c r="B689" s="3"/>
      <c r="C689" s="3"/>
      <c r="D689" s="10"/>
      <c r="E689" s="3"/>
      <c r="F689" s="3" t="str">
        <f>IFERROR(VLOOKUP(E689, [1]Hotels!$A:$B, 2, FALSE),"")</f>
        <v/>
      </c>
      <c r="G689" s="14"/>
      <c r="H689" s="26"/>
      <c r="I689" s="2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26"/>
      <c r="B690" s="3"/>
      <c r="C690" s="3"/>
      <c r="D690" s="10"/>
      <c r="E690" s="3"/>
      <c r="F690" s="3" t="str">
        <f>IFERROR(VLOOKUP(E690, [1]Hotels!$A:$B, 2, FALSE),"")</f>
        <v/>
      </c>
      <c r="G690" s="14"/>
      <c r="H690" s="26"/>
      <c r="I690" s="2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26"/>
      <c r="B691" s="3"/>
      <c r="C691" s="3"/>
      <c r="D691" s="10"/>
      <c r="E691" s="3"/>
      <c r="F691" s="3" t="str">
        <f>IFERROR(VLOOKUP(E691, [1]Hotels!$A:$B, 2, FALSE),"")</f>
        <v/>
      </c>
      <c r="G691" s="14"/>
      <c r="H691" s="26"/>
      <c r="I691" s="2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26"/>
      <c r="B692" s="3"/>
      <c r="C692" s="3"/>
      <c r="D692" s="10"/>
      <c r="E692" s="3"/>
      <c r="F692" s="3" t="str">
        <f>IFERROR(VLOOKUP(E692, [1]Hotels!$A:$B, 2, FALSE),"")</f>
        <v/>
      </c>
      <c r="G692" s="14"/>
      <c r="H692" s="26"/>
      <c r="I692" s="2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26"/>
      <c r="B693" s="3"/>
      <c r="C693" s="3"/>
      <c r="D693" s="10"/>
      <c r="E693" s="3"/>
      <c r="F693" s="3" t="str">
        <f>IFERROR(VLOOKUP(E693, [1]Hotels!$A:$B, 2, FALSE),"")</f>
        <v/>
      </c>
      <c r="G693" s="14"/>
      <c r="H693" s="26"/>
      <c r="I693" s="2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26"/>
      <c r="B694" s="3"/>
      <c r="C694" s="3"/>
      <c r="D694" s="10"/>
      <c r="E694" s="3"/>
      <c r="F694" s="3" t="str">
        <f>IFERROR(VLOOKUP(E694, [1]Hotels!$A:$B, 2, FALSE),"")</f>
        <v/>
      </c>
      <c r="G694" s="14"/>
      <c r="H694" s="26"/>
      <c r="I694" s="2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26"/>
      <c r="B695" s="3"/>
      <c r="C695" s="3"/>
      <c r="D695" s="10"/>
      <c r="E695" s="3"/>
      <c r="F695" s="3" t="str">
        <f>IFERROR(VLOOKUP(E695, [1]Hotels!$A:$B, 2, FALSE),"")</f>
        <v/>
      </c>
      <c r="G695" s="14"/>
      <c r="H695" s="26"/>
      <c r="I695" s="2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26"/>
      <c r="B696" s="3"/>
      <c r="C696" s="3"/>
      <c r="D696" s="10"/>
      <c r="E696" s="3"/>
      <c r="F696" s="3" t="str">
        <f>IFERROR(VLOOKUP(E696, [1]Hotels!$A:$B, 2, FALSE),"")</f>
        <v/>
      </c>
      <c r="G696" s="14"/>
      <c r="H696" s="26"/>
      <c r="I696" s="2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26"/>
      <c r="B697" s="3"/>
      <c r="C697" s="3"/>
      <c r="D697" s="10"/>
      <c r="E697" s="3"/>
      <c r="F697" s="3" t="str">
        <f>IFERROR(VLOOKUP(E697, [1]Hotels!$A:$B, 2, FALSE),"")</f>
        <v/>
      </c>
      <c r="G697" s="14"/>
      <c r="H697" s="26"/>
      <c r="I697" s="2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26"/>
      <c r="B698" s="3"/>
      <c r="C698" s="3"/>
      <c r="D698" s="10"/>
      <c r="E698" s="3"/>
      <c r="F698" s="3" t="str">
        <f>IFERROR(VLOOKUP(E698, [1]Hotels!$A:$B, 2, FALSE),"")</f>
        <v/>
      </c>
      <c r="G698" s="14"/>
      <c r="H698" s="26"/>
      <c r="I698" s="2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26"/>
      <c r="B699" s="3"/>
      <c r="C699" s="3"/>
      <c r="D699" s="10"/>
      <c r="E699" s="3"/>
      <c r="F699" s="3" t="str">
        <f>IFERROR(VLOOKUP(E699, [1]Hotels!$A:$B, 2, FALSE),"")</f>
        <v/>
      </c>
      <c r="G699" s="14"/>
      <c r="H699" s="26"/>
      <c r="I699" s="2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26"/>
      <c r="B700" s="3"/>
      <c r="C700" s="3"/>
      <c r="D700" s="10"/>
      <c r="E700" s="3"/>
      <c r="F700" s="3" t="str">
        <f>IFERROR(VLOOKUP(E700, [1]Hotels!$A:$B, 2, FALSE),"")</f>
        <v/>
      </c>
      <c r="G700" s="14"/>
      <c r="H700" s="26"/>
      <c r="I700" s="2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26"/>
      <c r="B701" s="3"/>
      <c r="C701" s="3"/>
      <c r="D701" s="10"/>
      <c r="E701" s="3"/>
      <c r="F701" s="3" t="str">
        <f>IFERROR(VLOOKUP(E701, [1]Hotels!$A:$B, 2, FALSE),"")</f>
        <v/>
      </c>
      <c r="G701" s="14"/>
      <c r="H701" s="26"/>
      <c r="I701" s="2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26"/>
      <c r="B702" s="3"/>
      <c r="C702" s="3"/>
      <c r="D702" s="10"/>
      <c r="E702" s="3"/>
      <c r="F702" s="3" t="str">
        <f>IFERROR(VLOOKUP(E702, [1]Hotels!$A:$B, 2, FALSE),"")</f>
        <v/>
      </c>
      <c r="G702" s="14"/>
      <c r="H702" s="26"/>
      <c r="I702" s="2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26"/>
      <c r="B703" s="3"/>
      <c r="C703" s="3"/>
      <c r="D703" s="10"/>
      <c r="E703" s="3"/>
      <c r="F703" s="3" t="str">
        <f>IFERROR(VLOOKUP(E703, [1]Hotels!$A:$B, 2, FALSE),"")</f>
        <v/>
      </c>
      <c r="G703" s="14"/>
      <c r="H703" s="26"/>
      <c r="I703" s="2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26"/>
      <c r="B704" s="3"/>
      <c r="C704" s="3"/>
      <c r="D704" s="10"/>
      <c r="E704" s="3"/>
      <c r="F704" s="3" t="str">
        <f>IFERROR(VLOOKUP(E704, [1]Hotels!$A:$B, 2, FALSE),"")</f>
        <v/>
      </c>
      <c r="G704" s="14"/>
      <c r="H704" s="26"/>
      <c r="I704" s="2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26"/>
      <c r="B705" s="3"/>
      <c r="C705" s="3"/>
      <c r="D705" s="10"/>
      <c r="E705" s="3"/>
      <c r="F705" s="3" t="str">
        <f>IFERROR(VLOOKUP(E705, [1]Hotels!$A:$B, 2, FALSE),"")</f>
        <v/>
      </c>
      <c r="G705" s="14"/>
      <c r="H705" s="26"/>
      <c r="I705" s="2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26"/>
      <c r="B706" s="3"/>
      <c r="C706" s="3"/>
      <c r="D706" s="10"/>
      <c r="E706" s="3"/>
      <c r="F706" s="3" t="str">
        <f>IFERROR(VLOOKUP(E706, [1]Hotels!$A:$B, 2, FALSE),"")</f>
        <v/>
      </c>
      <c r="G706" s="14"/>
      <c r="H706" s="26"/>
      <c r="I706" s="2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26"/>
      <c r="B707" s="3"/>
      <c r="C707" s="3"/>
      <c r="D707" s="10"/>
      <c r="E707" s="3"/>
      <c r="F707" s="3" t="str">
        <f>IFERROR(VLOOKUP(E707, [1]Hotels!$A:$B, 2, FALSE),"")</f>
        <v/>
      </c>
      <c r="G707" s="14"/>
      <c r="H707" s="26"/>
      <c r="I707" s="2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26"/>
      <c r="B708" s="3"/>
      <c r="C708" s="3"/>
      <c r="D708" s="10"/>
      <c r="E708" s="3"/>
      <c r="F708" s="3" t="str">
        <f>IFERROR(VLOOKUP(E708, [1]Hotels!$A:$B, 2, FALSE),"")</f>
        <v/>
      </c>
      <c r="G708" s="14"/>
      <c r="H708" s="26"/>
      <c r="I708" s="2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26"/>
      <c r="B709" s="3"/>
      <c r="C709" s="3"/>
      <c r="D709" s="10"/>
      <c r="E709" s="3"/>
      <c r="F709" s="3" t="str">
        <f>IFERROR(VLOOKUP(E709, [1]Hotels!$A:$B, 2, FALSE),"")</f>
        <v/>
      </c>
      <c r="G709" s="14"/>
      <c r="H709" s="26"/>
      <c r="I709" s="2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26"/>
      <c r="B710" s="3"/>
      <c r="C710" s="3"/>
      <c r="D710" s="10"/>
      <c r="E710" s="3"/>
      <c r="F710" s="3" t="str">
        <f>IFERROR(VLOOKUP(E710, [1]Hotels!$A:$B, 2, FALSE),"")</f>
        <v/>
      </c>
      <c r="G710" s="14"/>
      <c r="H710" s="26"/>
      <c r="I710" s="2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26"/>
      <c r="B711" s="3"/>
      <c r="C711" s="3"/>
      <c r="D711" s="10"/>
      <c r="E711" s="3"/>
      <c r="F711" s="3" t="str">
        <f>IFERROR(VLOOKUP(E711, [1]Hotels!$A:$B, 2, FALSE),"")</f>
        <v/>
      </c>
      <c r="G711" s="14"/>
      <c r="H711" s="26"/>
      <c r="I711" s="2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26"/>
      <c r="B712" s="3"/>
      <c r="C712" s="3"/>
      <c r="D712" s="10"/>
      <c r="E712" s="3"/>
      <c r="F712" s="3" t="str">
        <f>IFERROR(VLOOKUP(E712, [1]Hotels!$A:$B, 2, FALSE),"")</f>
        <v/>
      </c>
      <c r="G712" s="14"/>
      <c r="H712" s="26"/>
      <c r="I712" s="2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26"/>
      <c r="B713" s="3"/>
      <c r="C713" s="3"/>
      <c r="D713" s="10"/>
      <c r="E713" s="3"/>
      <c r="F713" s="3" t="str">
        <f>IFERROR(VLOOKUP(E713, [1]Hotels!$A:$B, 2, FALSE),"")</f>
        <v/>
      </c>
      <c r="G713" s="14"/>
      <c r="H713" s="26"/>
      <c r="I713" s="2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26"/>
      <c r="B714" s="3"/>
      <c r="C714" s="3"/>
      <c r="D714" s="10"/>
      <c r="E714" s="3"/>
      <c r="F714" s="3" t="str">
        <f>IFERROR(VLOOKUP(E714, [1]Hotels!$A:$B, 2, FALSE),"")</f>
        <v/>
      </c>
      <c r="G714" s="14"/>
      <c r="H714" s="26"/>
      <c r="I714" s="2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26"/>
      <c r="B715" s="3"/>
      <c r="C715" s="3"/>
      <c r="D715" s="10"/>
      <c r="E715" s="3"/>
      <c r="F715" s="3" t="str">
        <f>IFERROR(VLOOKUP(E715, [1]Hotels!$A:$B, 2, FALSE),"")</f>
        <v/>
      </c>
      <c r="G715" s="14"/>
      <c r="H715" s="26"/>
      <c r="I715" s="2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26"/>
      <c r="B716" s="3"/>
      <c r="C716" s="3"/>
      <c r="D716" s="10"/>
      <c r="E716" s="3"/>
      <c r="F716" s="3" t="str">
        <f>IFERROR(VLOOKUP(E716, [1]Hotels!$A:$B, 2, FALSE),"")</f>
        <v/>
      </c>
      <c r="G716" s="14"/>
      <c r="H716" s="26"/>
      <c r="I716" s="2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26"/>
      <c r="B717" s="3"/>
      <c r="C717" s="3"/>
      <c r="D717" s="10"/>
      <c r="E717" s="3"/>
      <c r="F717" s="3" t="str">
        <f>IFERROR(VLOOKUP(E717, [1]Hotels!$A:$B, 2, FALSE),"")</f>
        <v/>
      </c>
      <c r="G717" s="14"/>
      <c r="H717" s="26"/>
      <c r="I717" s="2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26"/>
      <c r="B718" s="3"/>
      <c r="C718" s="3"/>
      <c r="D718" s="10"/>
      <c r="E718" s="3"/>
      <c r="F718" s="3" t="str">
        <f>IFERROR(VLOOKUP(E718, [1]Hotels!$A:$B, 2, FALSE),"")</f>
        <v/>
      </c>
      <c r="G718" s="14"/>
      <c r="H718" s="26"/>
      <c r="I718" s="2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26"/>
      <c r="B719" s="3"/>
      <c r="C719" s="3"/>
      <c r="D719" s="10"/>
      <c r="E719" s="3"/>
      <c r="F719" s="3" t="str">
        <f>IFERROR(VLOOKUP(E719, [1]Hotels!$A:$B, 2, FALSE),"")</f>
        <v/>
      </c>
      <c r="G719" s="14"/>
      <c r="H719" s="26"/>
      <c r="I719" s="2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26"/>
      <c r="B720" s="3"/>
      <c r="C720" s="3"/>
      <c r="D720" s="10"/>
      <c r="E720" s="3"/>
      <c r="F720" s="3" t="str">
        <f>IFERROR(VLOOKUP(E720, [1]Hotels!$A:$B, 2, FALSE),"")</f>
        <v/>
      </c>
      <c r="G720" s="14"/>
      <c r="H720" s="26"/>
      <c r="I720" s="2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26"/>
      <c r="B721" s="3"/>
      <c r="C721" s="3"/>
      <c r="D721" s="10"/>
      <c r="E721" s="3"/>
      <c r="F721" s="3" t="str">
        <f>IFERROR(VLOOKUP(E721, [1]Hotels!$A:$B, 2, FALSE),"")</f>
        <v/>
      </c>
      <c r="G721" s="14"/>
      <c r="H721" s="26"/>
      <c r="I721" s="2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26"/>
      <c r="B722" s="3"/>
      <c r="C722" s="3"/>
      <c r="D722" s="10"/>
      <c r="E722" s="3"/>
      <c r="F722" s="3" t="str">
        <f>IFERROR(VLOOKUP(E722, [1]Hotels!$A:$B, 2, FALSE),"")</f>
        <v/>
      </c>
      <c r="G722" s="14"/>
      <c r="H722" s="26"/>
      <c r="I722" s="2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26"/>
      <c r="B723" s="3"/>
      <c r="C723" s="3"/>
      <c r="D723" s="10"/>
      <c r="E723" s="3"/>
      <c r="F723" s="3" t="str">
        <f>IFERROR(VLOOKUP(E723, [1]Hotels!$A:$B, 2, FALSE),"")</f>
        <v/>
      </c>
      <c r="G723" s="14"/>
      <c r="H723" s="26"/>
      <c r="I723" s="2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26"/>
      <c r="B724" s="3"/>
      <c r="C724" s="3"/>
      <c r="D724" s="10"/>
      <c r="E724" s="3"/>
      <c r="F724" s="3" t="str">
        <f>IFERROR(VLOOKUP(E724, [1]Hotels!$A:$B, 2, FALSE),"")</f>
        <v/>
      </c>
      <c r="G724" s="14"/>
      <c r="H724" s="26"/>
      <c r="I724" s="2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26"/>
      <c r="B725" s="3"/>
      <c r="C725" s="3"/>
      <c r="D725" s="10"/>
      <c r="E725" s="3"/>
      <c r="F725" s="3" t="str">
        <f>IFERROR(VLOOKUP(E725, [1]Hotels!$A:$B, 2, FALSE),"")</f>
        <v/>
      </c>
      <c r="G725" s="14"/>
      <c r="H725" s="26"/>
      <c r="I725" s="2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26"/>
      <c r="B726" s="3"/>
      <c r="C726" s="3"/>
      <c r="D726" s="10"/>
      <c r="E726" s="3"/>
      <c r="F726" s="3" t="str">
        <f>IFERROR(VLOOKUP(E726, [1]Hotels!$A:$B, 2, FALSE),"")</f>
        <v/>
      </c>
      <c r="G726" s="14"/>
      <c r="H726" s="26"/>
      <c r="I726" s="2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26"/>
      <c r="B727" s="3"/>
      <c r="C727" s="3"/>
      <c r="D727" s="10"/>
      <c r="E727" s="3"/>
      <c r="F727" s="3" t="str">
        <f>IFERROR(VLOOKUP(E727, [1]Hotels!$A:$B, 2, FALSE),"")</f>
        <v/>
      </c>
      <c r="G727" s="14"/>
      <c r="H727" s="26"/>
      <c r="I727" s="2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26"/>
      <c r="B728" s="3"/>
      <c r="C728" s="3"/>
      <c r="D728" s="10"/>
      <c r="E728" s="3"/>
      <c r="F728" s="3" t="str">
        <f>IFERROR(VLOOKUP(E728, [1]Hotels!$A:$B, 2, FALSE),"")</f>
        <v/>
      </c>
      <c r="G728" s="14"/>
      <c r="H728" s="26"/>
      <c r="I728" s="2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26"/>
      <c r="B729" s="3"/>
      <c r="C729" s="3"/>
      <c r="D729" s="10"/>
      <c r="E729" s="3"/>
      <c r="F729" s="3" t="str">
        <f>IFERROR(VLOOKUP(E729, [1]Hotels!$A:$B, 2, FALSE),"")</f>
        <v/>
      </c>
      <c r="G729" s="14"/>
      <c r="H729" s="26"/>
      <c r="I729" s="2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26"/>
      <c r="B730" s="3"/>
      <c r="C730" s="3"/>
      <c r="D730" s="10"/>
      <c r="E730" s="3"/>
      <c r="F730" s="3" t="str">
        <f>IFERROR(VLOOKUP(E730, [1]Hotels!$A:$B, 2, FALSE),"")</f>
        <v/>
      </c>
      <c r="G730" s="14"/>
      <c r="H730" s="26"/>
      <c r="I730" s="2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26"/>
      <c r="B731" s="3"/>
      <c r="C731" s="3"/>
      <c r="D731" s="10"/>
      <c r="E731" s="3"/>
      <c r="F731" s="3" t="str">
        <f>IFERROR(VLOOKUP(E731, [1]Hotels!$A:$B, 2, FALSE),"")</f>
        <v/>
      </c>
      <c r="G731" s="14"/>
      <c r="H731" s="26"/>
      <c r="I731" s="2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26"/>
      <c r="B732" s="3"/>
      <c r="C732" s="3"/>
      <c r="D732" s="10"/>
      <c r="E732" s="3"/>
      <c r="F732" s="3" t="str">
        <f>IFERROR(VLOOKUP(E732, [1]Hotels!$A:$B, 2, FALSE),"")</f>
        <v/>
      </c>
      <c r="G732" s="14"/>
      <c r="H732" s="26"/>
      <c r="I732" s="2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26"/>
      <c r="B733" s="3"/>
      <c r="C733" s="3"/>
      <c r="D733" s="10"/>
      <c r="E733" s="3"/>
      <c r="F733" s="3" t="str">
        <f>IFERROR(VLOOKUP(E733, [1]Hotels!$A:$B, 2, FALSE),"")</f>
        <v/>
      </c>
      <c r="G733" s="14"/>
      <c r="H733" s="26"/>
      <c r="I733" s="2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26"/>
      <c r="B734" s="3"/>
      <c r="C734" s="3"/>
      <c r="D734" s="10"/>
      <c r="E734" s="3"/>
      <c r="F734" s="3" t="str">
        <f>IFERROR(VLOOKUP(E734, [1]Hotels!$A:$B, 2, FALSE),"")</f>
        <v/>
      </c>
      <c r="G734" s="14"/>
      <c r="H734" s="26"/>
      <c r="I734" s="2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26"/>
      <c r="B735" s="3"/>
      <c r="C735" s="3"/>
      <c r="D735" s="10"/>
      <c r="E735" s="3"/>
      <c r="F735" s="3" t="str">
        <f>IFERROR(VLOOKUP(E735, [1]Hotels!$A:$B, 2, FALSE),"")</f>
        <v/>
      </c>
      <c r="G735" s="14"/>
      <c r="H735" s="26"/>
      <c r="I735" s="2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26"/>
      <c r="B736" s="3"/>
      <c r="C736" s="3"/>
      <c r="D736" s="10"/>
      <c r="E736" s="3"/>
      <c r="F736" s="3" t="str">
        <f>IFERROR(VLOOKUP(E736, [1]Hotels!$A:$B, 2, FALSE),"")</f>
        <v/>
      </c>
      <c r="G736" s="14"/>
      <c r="H736" s="26"/>
      <c r="I736" s="2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26"/>
      <c r="B737" s="3"/>
      <c r="C737" s="3"/>
      <c r="D737" s="10"/>
      <c r="E737" s="3"/>
      <c r="F737" s="3" t="str">
        <f>IFERROR(VLOOKUP(E737, [1]Hotels!$A:$B, 2, FALSE),"")</f>
        <v/>
      </c>
      <c r="G737" s="14"/>
      <c r="H737" s="26"/>
      <c r="I737" s="2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26"/>
      <c r="B738" s="3"/>
      <c r="C738" s="3"/>
      <c r="D738" s="10"/>
      <c r="E738" s="3"/>
      <c r="F738" s="3" t="str">
        <f>IFERROR(VLOOKUP(E738, [1]Hotels!$A:$B, 2, FALSE),"")</f>
        <v/>
      </c>
      <c r="G738" s="14"/>
      <c r="H738" s="26"/>
      <c r="I738" s="2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26"/>
      <c r="B739" s="3"/>
      <c r="C739" s="3"/>
      <c r="D739" s="10"/>
      <c r="E739" s="3"/>
      <c r="F739" s="3" t="str">
        <f>IFERROR(VLOOKUP(E739, [1]Hotels!$A:$B, 2, FALSE),"")</f>
        <v/>
      </c>
      <c r="G739" s="14"/>
      <c r="H739" s="26"/>
      <c r="I739" s="2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26"/>
      <c r="B740" s="3"/>
      <c r="C740" s="3"/>
      <c r="D740" s="10"/>
      <c r="E740" s="3"/>
      <c r="F740" s="3" t="str">
        <f>IFERROR(VLOOKUP(E740, [1]Hotels!$A:$B, 2, FALSE),"")</f>
        <v/>
      </c>
      <c r="G740" s="14"/>
      <c r="H740" s="26"/>
      <c r="I740" s="2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26"/>
      <c r="B741" s="3"/>
      <c r="C741" s="3"/>
      <c r="D741" s="10"/>
      <c r="E741" s="3"/>
      <c r="F741" s="3" t="str">
        <f>IFERROR(VLOOKUP(E741, [1]Hotels!$A:$B, 2, FALSE),"")</f>
        <v/>
      </c>
      <c r="G741" s="14"/>
      <c r="H741" s="26"/>
      <c r="I741" s="2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26"/>
      <c r="B742" s="3"/>
      <c r="C742" s="3"/>
      <c r="D742" s="10"/>
      <c r="E742" s="3"/>
      <c r="F742" s="3" t="str">
        <f>IFERROR(VLOOKUP(E742, [1]Hotels!$A:$B, 2, FALSE),"")</f>
        <v/>
      </c>
      <c r="G742" s="14"/>
      <c r="H742" s="26"/>
      <c r="I742" s="2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26"/>
      <c r="B743" s="3"/>
      <c r="C743" s="3"/>
      <c r="D743" s="10"/>
      <c r="E743" s="3"/>
      <c r="F743" s="3" t="str">
        <f>IFERROR(VLOOKUP(E743, [1]Hotels!$A:$B, 2, FALSE),"")</f>
        <v/>
      </c>
      <c r="G743" s="14"/>
      <c r="H743" s="26"/>
      <c r="I743" s="2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26"/>
      <c r="B744" s="3"/>
      <c r="C744" s="3"/>
      <c r="D744" s="10"/>
      <c r="E744" s="3"/>
      <c r="F744" s="3" t="str">
        <f>IFERROR(VLOOKUP(E744, [1]Hotels!$A:$B, 2, FALSE),"")</f>
        <v/>
      </c>
      <c r="G744" s="14"/>
      <c r="H744" s="26"/>
      <c r="I744" s="2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26"/>
      <c r="B745" s="3"/>
      <c r="C745" s="3"/>
      <c r="D745" s="10"/>
      <c r="E745" s="3"/>
      <c r="F745" s="3" t="str">
        <f>IFERROR(VLOOKUP(E745, [1]Hotels!$A:$B, 2, FALSE),"")</f>
        <v/>
      </c>
      <c r="G745" s="14"/>
      <c r="H745" s="26"/>
      <c r="I745" s="2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26"/>
      <c r="B746" s="3"/>
      <c r="C746" s="3"/>
      <c r="D746" s="10"/>
      <c r="E746" s="3"/>
      <c r="F746" s="3" t="str">
        <f>IFERROR(VLOOKUP(E746, [1]Hotels!$A:$B, 2, FALSE),"")</f>
        <v/>
      </c>
      <c r="G746" s="14"/>
      <c r="H746" s="26"/>
      <c r="I746" s="2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26"/>
      <c r="B747" s="3"/>
      <c r="C747" s="3"/>
      <c r="D747" s="10"/>
      <c r="E747" s="3"/>
      <c r="F747" s="3" t="str">
        <f>IFERROR(VLOOKUP(E747, [1]Hotels!$A:$B, 2, FALSE),"")</f>
        <v/>
      </c>
      <c r="G747" s="14"/>
      <c r="H747" s="26"/>
      <c r="I747" s="2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26"/>
      <c r="B748" s="3"/>
      <c r="C748" s="3"/>
      <c r="D748" s="10"/>
      <c r="E748" s="3"/>
      <c r="F748" s="3" t="str">
        <f>IFERROR(VLOOKUP(E748, [1]Hotels!$A:$B, 2, FALSE),"")</f>
        <v/>
      </c>
      <c r="G748" s="14"/>
      <c r="H748" s="26"/>
      <c r="I748" s="2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26"/>
      <c r="B749" s="3"/>
      <c r="C749" s="3"/>
      <c r="D749" s="10"/>
      <c r="E749" s="3"/>
      <c r="F749" s="3" t="str">
        <f>IFERROR(VLOOKUP(E749, [1]Hotels!$A:$B, 2, FALSE),"")</f>
        <v/>
      </c>
      <c r="G749" s="14"/>
      <c r="H749" s="26"/>
      <c r="I749" s="2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26"/>
      <c r="B750" s="3"/>
      <c r="C750" s="3"/>
      <c r="D750" s="10"/>
      <c r="E750" s="3"/>
      <c r="F750" s="3" t="str">
        <f>IFERROR(VLOOKUP(E750, [1]Hotels!$A:$B, 2, FALSE),"")</f>
        <v/>
      </c>
      <c r="G750" s="14"/>
      <c r="H750" s="26"/>
      <c r="I750" s="2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26"/>
      <c r="B751" s="3"/>
      <c r="C751" s="3"/>
      <c r="D751" s="10"/>
      <c r="E751" s="3"/>
      <c r="F751" s="3" t="str">
        <f>IFERROR(VLOOKUP(E751, [1]Hotels!$A:$B, 2, FALSE),"")</f>
        <v/>
      </c>
      <c r="G751" s="14"/>
      <c r="H751" s="26"/>
      <c r="I751" s="2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26"/>
      <c r="B752" s="3"/>
      <c r="C752" s="3"/>
      <c r="D752" s="10"/>
      <c r="E752" s="3"/>
      <c r="F752" s="3" t="str">
        <f>IFERROR(VLOOKUP(E752, [1]Hotels!$A:$B, 2, FALSE),"")</f>
        <v/>
      </c>
      <c r="G752" s="14"/>
      <c r="H752" s="26"/>
      <c r="I752" s="2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26"/>
      <c r="B753" s="3"/>
      <c r="C753" s="3"/>
      <c r="D753" s="10"/>
      <c r="E753" s="3"/>
      <c r="F753" s="3" t="str">
        <f>IFERROR(VLOOKUP(E753, [1]Hotels!$A:$B, 2, FALSE),"")</f>
        <v/>
      </c>
      <c r="G753" s="14"/>
      <c r="H753" s="26"/>
      <c r="I753" s="2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26"/>
      <c r="B754" s="3"/>
      <c r="C754" s="3"/>
      <c r="D754" s="10"/>
      <c r="E754" s="3"/>
      <c r="F754" s="3" t="str">
        <f>IFERROR(VLOOKUP(E754, [1]Hotels!$A:$B, 2, FALSE),"")</f>
        <v/>
      </c>
      <c r="G754" s="14"/>
      <c r="H754" s="26"/>
      <c r="I754" s="2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26"/>
      <c r="B755" s="3"/>
      <c r="C755" s="3"/>
      <c r="D755" s="10"/>
      <c r="E755" s="3"/>
      <c r="F755" s="3" t="str">
        <f>IFERROR(VLOOKUP(E755, [1]Hotels!$A:$B, 2, FALSE),"")</f>
        <v/>
      </c>
      <c r="G755" s="14"/>
      <c r="H755" s="26"/>
      <c r="I755" s="2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26"/>
      <c r="B756" s="3"/>
      <c r="C756" s="3"/>
      <c r="D756" s="10"/>
      <c r="E756" s="3"/>
      <c r="F756" s="3" t="str">
        <f>IFERROR(VLOOKUP(E756, [1]Hotels!$A:$B, 2, FALSE),"")</f>
        <v/>
      </c>
      <c r="G756" s="14"/>
      <c r="H756" s="26"/>
      <c r="I756" s="2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26"/>
      <c r="B757" s="3"/>
      <c r="C757" s="3"/>
      <c r="D757" s="10"/>
      <c r="E757" s="3"/>
      <c r="F757" s="3" t="str">
        <f>IFERROR(VLOOKUP(E757, [1]Hotels!$A:$B, 2, FALSE),"")</f>
        <v/>
      </c>
      <c r="G757" s="14"/>
      <c r="H757" s="26"/>
      <c r="I757" s="2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26"/>
      <c r="B758" s="3"/>
      <c r="C758" s="3"/>
      <c r="D758" s="10"/>
      <c r="E758" s="3"/>
      <c r="F758" s="3" t="str">
        <f>IFERROR(VLOOKUP(E758, [1]Hotels!$A:$B, 2, FALSE),"")</f>
        <v/>
      </c>
      <c r="G758" s="14"/>
      <c r="H758" s="26"/>
      <c r="I758" s="2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26"/>
      <c r="B759" s="3"/>
      <c r="C759" s="3"/>
      <c r="D759" s="10"/>
      <c r="E759" s="3"/>
      <c r="F759" s="3" t="str">
        <f>IFERROR(VLOOKUP(E759, [1]Hotels!$A:$B, 2, FALSE),"")</f>
        <v/>
      </c>
      <c r="G759" s="14"/>
      <c r="H759" s="26"/>
      <c r="I759" s="2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26"/>
      <c r="B760" s="3"/>
      <c r="C760" s="3"/>
      <c r="D760" s="10"/>
      <c r="E760" s="3"/>
      <c r="F760" s="3" t="str">
        <f>IFERROR(VLOOKUP(E760, [1]Hotels!$A:$B, 2, FALSE),"")</f>
        <v/>
      </c>
      <c r="G760" s="14"/>
      <c r="H760" s="26"/>
      <c r="I760" s="2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26"/>
      <c r="B761" s="3"/>
      <c r="C761" s="3"/>
      <c r="D761" s="10"/>
      <c r="E761" s="3"/>
      <c r="F761" s="3" t="str">
        <f>IFERROR(VLOOKUP(E761, [1]Hotels!$A:$B, 2, FALSE),"")</f>
        <v/>
      </c>
      <c r="G761" s="14"/>
      <c r="H761" s="26"/>
      <c r="I761" s="2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26"/>
      <c r="B762" s="3"/>
      <c r="C762" s="3"/>
      <c r="D762" s="10"/>
      <c r="E762" s="3"/>
      <c r="F762" s="3" t="str">
        <f>IFERROR(VLOOKUP(E762, [1]Hotels!$A:$B, 2, FALSE),"")</f>
        <v/>
      </c>
      <c r="G762" s="14"/>
      <c r="H762" s="26"/>
      <c r="I762" s="2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26"/>
      <c r="B763" s="3"/>
      <c r="C763" s="3"/>
      <c r="D763" s="10"/>
      <c r="E763" s="3"/>
      <c r="F763" s="3" t="str">
        <f>IFERROR(VLOOKUP(E763, [1]Hotels!$A:$B, 2, FALSE),"")</f>
        <v/>
      </c>
      <c r="G763" s="14"/>
      <c r="H763" s="26"/>
      <c r="I763" s="2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26"/>
      <c r="B764" s="3"/>
      <c r="C764" s="3"/>
      <c r="D764" s="10"/>
      <c r="E764" s="3"/>
      <c r="F764" s="3" t="str">
        <f>IFERROR(VLOOKUP(E764, [1]Hotels!$A:$B, 2, FALSE),"")</f>
        <v/>
      </c>
      <c r="G764" s="14"/>
      <c r="H764" s="26"/>
      <c r="I764" s="2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26"/>
      <c r="B765" s="3"/>
      <c r="C765" s="3"/>
      <c r="D765" s="10"/>
      <c r="E765" s="3"/>
      <c r="F765" s="3" t="str">
        <f>IFERROR(VLOOKUP(E765, [1]Hotels!$A:$B, 2, FALSE),"")</f>
        <v/>
      </c>
      <c r="G765" s="14"/>
      <c r="H765" s="26"/>
      <c r="I765" s="2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26"/>
      <c r="B766" s="3"/>
      <c r="C766" s="3"/>
      <c r="D766" s="10"/>
      <c r="E766" s="3"/>
      <c r="F766" s="3" t="str">
        <f>IFERROR(VLOOKUP(E766, [1]Hotels!$A:$B, 2, FALSE),"")</f>
        <v/>
      </c>
      <c r="G766" s="14"/>
      <c r="H766" s="26"/>
      <c r="I766" s="2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26"/>
      <c r="B767" s="3"/>
      <c r="C767" s="3"/>
      <c r="D767" s="10"/>
      <c r="E767" s="3"/>
      <c r="F767" s="3" t="str">
        <f>IFERROR(VLOOKUP(E767, [1]Hotels!$A:$B, 2, FALSE),"")</f>
        <v/>
      </c>
      <c r="G767" s="14"/>
      <c r="H767" s="26"/>
      <c r="I767" s="2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26"/>
      <c r="B768" s="3"/>
      <c r="C768" s="3"/>
      <c r="D768" s="10"/>
      <c r="E768" s="3"/>
      <c r="F768" s="3" t="str">
        <f>IFERROR(VLOOKUP(E768, [1]Hotels!$A:$B, 2, FALSE),"")</f>
        <v/>
      </c>
      <c r="G768" s="14"/>
      <c r="H768" s="26"/>
      <c r="I768" s="2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26"/>
      <c r="B769" s="3"/>
      <c r="C769" s="3"/>
      <c r="D769" s="10"/>
      <c r="E769" s="3"/>
      <c r="F769" s="3" t="str">
        <f>IFERROR(VLOOKUP(E769, [1]Hotels!$A:$B, 2, FALSE),"")</f>
        <v/>
      </c>
      <c r="G769" s="14"/>
      <c r="H769" s="26"/>
      <c r="I769" s="2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26"/>
      <c r="B770" s="3"/>
      <c r="C770" s="3"/>
      <c r="D770" s="10"/>
      <c r="E770" s="3"/>
      <c r="F770" s="3" t="str">
        <f>IFERROR(VLOOKUP(E770, [1]Hotels!$A:$B, 2, FALSE),"")</f>
        <v/>
      </c>
      <c r="G770" s="14"/>
      <c r="H770" s="26"/>
      <c r="I770" s="2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26"/>
      <c r="B771" s="3"/>
      <c r="C771" s="3"/>
      <c r="D771" s="10"/>
      <c r="E771" s="3"/>
      <c r="F771" s="3" t="str">
        <f>IFERROR(VLOOKUP(E771, [1]Hotels!$A:$B, 2, FALSE),"")</f>
        <v/>
      </c>
      <c r="G771" s="14"/>
      <c r="H771" s="26"/>
      <c r="I771" s="2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26"/>
      <c r="B772" s="3"/>
      <c r="C772" s="3"/>
      <c r="D772" s="10"/>
      <c r="E772" s="3"/>
      <c r="F772" s="3" t="str">
        <f>IFERROR(VLOOKUP(E772, [1]Hotels!$A:$B, 2, FALSE),"")</f>
        <v/>
      </c>
      <c r="G772" s="14"/>
      <c r="H772" s="26"/>
      <c r="I772" s="2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26"/>
      <c r="B773" s="3"/>
      <c r="C773" s="3"/>
      <c r="D773" s="10"/>
      <c r="E773" s="3"/>
      <c r="F773" s="3" t="str">
        <f>IFERROR(VLOOKUP(E773, [1]Hotels!$A:$B, 2, FALSE),"")</f>
        <v/>
      </c>
      <c r="G773" s="14"/>
      <c r="H773" s="26"/>
      <c r="I773" s="2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26"/>
      <c r="B774" s="3"/>
      <c r="C774" s="3"/>
      <c r="D774" s="10"/>
      <c r="E774" s="3"/>
      <c r="F774" s="3" t="str">
        <f>IFERROR(VLOOKUP(E774, [1]Hotels!$A:$B, 2, FALSE),"")</f>
        <v/>
      </c>
      <c r="G774" s="14"/>
      <c r="H774" s="26"/>
      <c r="I774" s="2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26"/>
      <c r="B775" s="3"/>
      <c r="C775" s="3"/>
      <c r="D775" s="10"/>
      <c r="E775" s="3"/>
      <c r="F775" s="3" t="str">
        <f>IFERROR(VLOOKUP(E775, [1]Hotels!$A:$B, 2, FALSE),"")</f>
        <v/>
      </c>
      <c r="G775" s="14"/>
      <c r="H775" s="26"/>
      <c r="I775" s="2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26"/>
      <c r="B776" s="3"/>
      <c r="C776" s="3"/>
      <c r="D776" s="10"/>
      <c r="E776" s="3"/>
      <c r="F776" s="3" t="str">
        <f>IFERROR(VLOOKUP(E776, [1]Hotels!$A:$B, 2, FALSE),"")</f>
        <v/>
      </c>
      <c r="G776" s="14"/>
      <c r="H776" s="26"/>
      <c r="I776" s="2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26"/>
      <c r="B777" s="3"/>
      <c r="C777" s="3"/>
      <c r="D777" s="10"/>
      <c r="E777" s="3"/>
      <c r="F777" s="3" t="str">
        <f>IFERROR(VLOOKUP(E777, [1]Hotels!$A:$B, 2, FALSE),"")</f>
        <v/>
      </c>
      <c r="G777" s="14"/>
      <c r="H777" s="26"/>
      <c r="I777" s="2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26"/>
      <c r="B778" s="3"/>
      <c r="C778" s="3"/>
      <c r="D778" s="10"/>
      <c r="E778" s="3"/>
      <c r="F778" s="3" t="str">
        <f>IFERROR(VLOOKUP(E778, [1]Hotels!$A:$B, 2, FALSE),"")</f>
        <v/>
      </c>
      <c r="G778" s="14"/>
      <c r="H778" s="26"/>
      <c r="I778" s="2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26"/>
      <c r="B779" s="3"/>
      <c r="C779" s="3"/>
      <c r="D779" s="10"/>
      <c r="E779" s="3"/>
      <c r="F779" s="3" t="str">
        <f>IFERROR(VLOOKUP(E779, [1]Hotels!$A:$B, 2, FALSE),"")</f>
        <v/>
      </c>
      <c r="G779" s="14"/>
      <c r="H779" s="26"/>
      <c r="I779" s="2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26"/>
      <c r="B780" s="3"/>
      <c r="C780" s="3"/>
      <c r="D780" s="10"/>
      <c r="E780" s="3"/>
      <c r="F780" s="3" t="str">
        <f>IFERROR(VLOOKUP(E780, [1]Hotels!$A:$B, 2, FALSE),"")</f>
        <v/>
      </c>
      <c r="G780" s="14"/>
      <c r="H780" s="26"/>
      <c r="I780" s="2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26"/>
      <c r="B781" s="3"/>
      <c r="C781" s="3"/>
      <c r="D781" s="10"/>
      <c r="E781" s="3"/>
      <c r="F781" s="3" t="str">
        <f>IFERROR(VLOOKUP(E781, [1]Hotels!$A:$B, 2, FALSE),"")</f>
        <v/>
      </c>
      <c r="G781" s="14"/>
      <c r="H781" s="26"/>
      <c r="I781" s="2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26"/>
      <c r="B782" s="3"/>
      <c r="C782" s="3"/>
      <c r="D782" s="10"/>
      <c r="E782" s="3"/>
      <c r="F782" s="3" t="str">
        <f>IFERROR(VLOOKUP(E782, [1]Hotels!$A:$B, 2, FALSE),"")</f>
        <v/>
      </c>
      <c r="G782" s="14"/>
      <c r="H782" s="26"/>
      <c r="I782" s="2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26"/>
      <c r="B783" s="3"/>
      <c r="C783" s="3"/>
      <c r="D783" s="10"/>
      <c r="E783" s="3"/>
      <c r="F783" s="3" t="str">
        <f>IFERROR(VLOOKUP(E783, [1]Hotels!$A:$B, 2, FALSE),"")</f>
        <v/>
      </c>
      <c r="G783" s="14"/>
      <c r="H783" s="26"/>
      <c r="I783" s="2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26"/>
      <c r="B784" s="3"/>
      <c r="C784" s="3"/>
      <c r="D784" s="10"/>
      <c r="E784" s="3"/>
      <c r="F784" s="3" t="str">
        <f>IFERROR(VLOOKUP(E784, [1]Hotels!$A:$B, 2, FALSE),"")</f>
        <v/>
      </c>
      <c r="G784" s="14"/>
      <c r="H784" s="26"/>
      <c r="I784" s="2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26"/>
      <c r="B785" s="3"/>
      <c r="C785" s="3"/>
      <c r="D785" s="10"/>
      <c r="E785" s="3"/>
      <c r="F785" s="3" t="str">
        <f>IFERROR(VLOOKUP(E785, [1]Hotels!$A:$B, 2, FALSE),"")</f>
        <v/>
      </c>
      <c r="G785" s="14"/>
      <c r="H785" s="26"/>
      <c r="I785" s="2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26"/>
      <c r="B786" s="3"/>
      <c r="C786" s="3"/>
      <c r="D786" s="10"/>
      <c r="E786" s="3"/>
      <c r="F786" s="3" t="str">
        <f>IFERROR(VLOOKUP(E786, [1]Hotels!$A:$B, 2, FALSE),"")</f>
        <v/>
      </c>
      <c r="G786" s="14"/>
      <c r="H786" s="26"/>
      <c r="I786" s="2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26"/>
      <c r="B787" s="3"/>
      <c r="C787" s="3"/>
      <c r="D787" s="10"/>
      <c r="E787" s="3"/>
      <c r="F787" s="3" t="str">
        <f>IFERROR(VLOOKUP(E787, [1]Hotels!$A:$B, 2, FALSE),"")</f>
        <v/>
      </c>
      <c r="G787" s="14"/>
      <c r="H787" s="26"/>
      <c r="I787" s="2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26"/>
      <c r="B788" s="3"/>
      <c r="C788" s="3"/>
      <c r="D788" s="10"/>
      <c r="E788" s="3"/>
      <c r="F788" s="3" t="str">
        <f>IFERROR(VLOOKUP(E788, [1]Hotels!$A:$B, 2, FALSE),"")</f>
        <v/>
      </c>
      <c r="G788" s="14"/>
      <c r="H788" s="26"/>
      <c r="I788" s="2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26"/>
      <c r="B789" s="3"/>
      <c r="C789" s="3"/>
      <c r="D789" s="10"/>
      <c r="E789" s="3"/>
      <c r="F789" s="3" t="str">
        <f>IFERROR(VLOOKUP(E789, [1]Hotels!$A:$B, 2, FALSE),"")</f>
        <v/>
      </c>
      <c r="G789" s="14"/>
      <c r="H789" s="26"/>
      <c r="I789" s="2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26"/>
      <c r="B790" s="3"/>
      <c r="C790" s="3"/>
      <c r="D790" s="10"/>
      <c r="E790" s="3"/>
      <c r="F790" s="3" t="str">
        <f>IFERROR(VLOOKUP(E790, [1]Hotels!$A:$B, 2, FALSE),"")</f>
        <v/>
      </c>
      <c r="G790" s="14"/>
      <c r="H790" s="26"/>
      <c r="I790" s="2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26"/>
      <c r="B791" s="3"/>
      <c r="C791" s="3"/>
      <c r="D791" s="10"/>
      <c r="E791" s="3"/>
      <c r="F791" s="3" t="str">
        <f>IFERROR(VLOOKUP(E791, [1]Hotels!$A:$B, 2, FALSE),"")</f>
        <v/>
      </c>
      <c r="G791" s="14"/>
      <c r="H791" s="26"/>
      <c r="I791" s="2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26"/>
      <c r="B792" s="3"/>
      <c r="C792" s="3"/>
      <c r="D792" s="10"/>
      <c r="E792" s="3"/>
      <c r="F792" s="3" t="str">
        <f>IFERROR(VLOOKUP(E792, [1]Hotels!$A:$B, 2, FALSE),"")</f>
        <v/>
      </c>
      <c r="G792" s="14"/>
      <c r="H792" s="26"/>
      <c r="I792" s="2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26"/>
      <c r="B793" s="3"/>
      <c r="C793" s="3"/>
      <c r="D793" s="10"/>
      <c r="E793" s="3"/>
      <c r="F793" s="3" t="str">
        <f>IFERROR(VLOOKUP(E793, [1]Hotels!$A:$B, 2, FALSE),"")</f>
        <v/>
      </c>
      <c r="G793" s="14"/>
      <c r="H793" s="26"/>
      <c r="I793" s="2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26"/>
      <c r="B794" s="3"/>
      <c r="C794" s="3"/>
      <c r="D794" s="10"/>
      <c r="E794" s="3"/>
      <c r="F794" s="3" t="str">
        <f>IFERROR(VLOOKUP(E794, [1]Hotels!$A:$B, 2, FALSE),"")</f>
        <v/>
      </c>
      <c r="G794" s="14"/>
      <c r="H794" s="26"/>
      <c r="I794" s="2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26"/>
      <c r="B795" s="3"/>
      <c r="C795" s="3"/>
      <c r="D795" s="10"/>
      <c r="E795" s="3"/>
      <c r="F795" s="3" t="str">
        <f>IFERROR(VLOOKUP(E795, [1]Hotels!$A:$B, 2, FALSE),"")</f>
        <v/>
      </c>
      <c r="G795" s="14"/>
      <c r="H795" s="26"/>
      <c r="I795" s="2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26"/>
      <c r="B796" s="3"/>
      <c r="C796" s="3"/>
      <c r="D796" s="10"/>
      <c r="E796" s="3"/>
      <c r="F796" s="3" t="str">
        <f>IFERROR(VLOOKUP(E796, [1]Hotels!$A:$B, 2, FALSE),"")</f>
        <v/>
      </c>
      <c r="G796" s="14"/>
      <c r="H796" s="26"/>
      <c r="I796" s="2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26"/>
      <c r="B797" s="3"/>
      <c r="C797" s="3"/>
      <c r="D797" s="10"/>
      <c r="E797" s="3"/>
      <c r="F797" s="3" t="str">
        <f>IFERROR(VLOOKUP(E797, [1]Hotels!$A:$B, 2, FALSE),"")</f>
        <v/>
      </c>
      <c r="G797" s="14"/>
      <c r="H797" s="26"/>
      <c r="I797" s="2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26"/>
      <c r="B798" s="3"/>
      <c r="C798" s="3"/>
      <c r="D798" s="10"/>
      <c r="E798" s="3"/>
      <c r="F798" s="3" t="str">
        <f>IFERROR(VLOOKUP(E798, [1]Hotels!$A:$B, 2, FALSE),"")</f>
        <v/>
      </c>
      <c r="G798" s="14"/>
      <c r="H798" s="26"/>
      <c r="I798" s="2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26"/>
      <c r="B799" s="3"/>
      <c r="C799" s="3"/>
      <c r="D799" s="10"/>
      <c r="E799" s="3"/>
      <c r="F799" s="3" t="str">
        <f>IFERROR(VLOOKUP(E799, [1]Hotels!$A:$B, 2, FALSE),"")</f>
        <v/>
      </c>
      <c r="G799" s="14"/>
      <c r="H799" s="26"/>
      <c r="I799" s="2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26"/>
      <c r="B800" s="3"/>
      <c r="C800" s="3"/>
      <c r="D800" s="10"/>
      <c r="E800" s="3"/>
      <c r="F800" s="3" t="str">
        <f>IFERROR(VLOOKUP(E800, [1]Hotels!$A:$B, 2, FALSE),"")</f>
        <v/>
      </c>
      <c r="G800" s="14"/>
      <c r="H800" s="26"/>
      <c r="I800" s="2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26"/>
      <c r="B801" s="3"/>
      <c r="C801" s="3"/>
      <c r="D801" s="10"/>
      <c r="E801" s="3"/>
      <c r="F801" s="3" t="str">
        <f>IFERROR(VLOOKUP(E801, [1]Hotels!$A:$B, 2, FALSE),"")</f>
        <v/>
      </c>
      <c r="G801" s="14"/>
      <c r="H801" s="26"/>
      <c r="I801" s="2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26"/>
      <c r="B802" s="3"/>
      <c r="C802" s="3"/>
      <c r="D802" s="10"/>
      <c r="E802" s="3"/>
      <c r="F802" s="3" t="str">
        <f>IFERROR(VLOOKUP(E802, [1]Hotels!$A:$B, 2, FALSE),"")</f>
        <v/>
      </c>
      <c r="G802" s="14"/>
      <c r="H802" s="26"/>
      <c r="I802" s="2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26"/>
      <c r="B803" s="3"/>
      <c r="C803" s="3"/>
      <c r="D803" s="10"/>
      <c r="E803" s="3"/>
      <c r="F803" s="3" t="str">
        <f>IFERROR(VLOOKUP(E803, [1]Hotels!$A:$B, 2, FALSE),"")</f>
        <v/>
      </c>
      <c r="G803" s="14"/>
      <c r="H803" s="26"/>
      <c r="I803" s="2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26"/>
      <c r="B804" s="3"/>
      <c r="C804" s="3"/>
      <c r="D804" s="10"/>
      <c r="E804" s="3"/>
      <c r="F804" s="3" t="str">
        <f>IFERROR(VLOOKUP(E804, [1]Hotels!$A:$B, 2, FALSE),"")</f>
        <v/>
      </c>
      <c r="G804" s="14"/>
      <c r="H804" s="26"/>
      <c r="I804" s="2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26"/>
      <c r="B805" s="3"/>
      <c r="C805" s="3"/>
      <c r="D805" s="10"/>
      <c r="E805" s="3"/>
      <c r="F805" s="3" t="str">
        <f>IFERROR(VLOOKUP(E805, [1]Hotels!$A:$B, 2, FALSE),"")</f>
        <v/>
      </c>
      <c r="G805" s="14"/>
      <c r="H805" s="26"/>
      <c r="I805" s="2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26"/>
      <c r="B806" s="3"/>
      <c r="C806" s="3"/>
      <c r="D806" s="10"/>
      <c r="E806" s="3"/>
      <c r="F806" s="3" t="str">
        <f>IFERROR(VLOOKUP(E806, [1]Hotels!$A:$B, 2, FALSE),"")</f>
        <v/>
      </c>
      <c r="G806" s="14"/>
      <c r="H806" s="26"/>
      <c r="I806" s="2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26"/>
      <c r="B807" s="3"/>
      <c r="C807" s="3"/>
      <c r="D807" s="10"/>
      <c r="E807" s="3"/>
      <c r="F807" s="3" t="str">
        <f>IFERROR(VLOOKUP(E807, [1]Hotels!$A:$B, 2, FALSE),"")</f>
        <v/>
      </c>
      <c r="G807" s="14"/>
      <c r="H807" s="26"/>
      <c r="I807" s="2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26"/>
      <c r="B808" s="3"/>
      <c r="C808" s="3"/>
      <c r="D808" s="10"/>
      <c r="E808" s="3"/>
      <c r="F808" s="3" t="str">
        <f>IFERROR(VLOOKUP(E808, [1]Hotels!$A:$B, 2, FALSE),"")</f>
        <v/>
      </c>
      <c r="G808" s="14"/>
      <c r="H808" s="26"/>
      <c r="I808" s="2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26"/>
      <c r="B809" s="3"/>
      <c r="C809" s="3"/>
      <c r="D809" s="10"/>
      <c r="E809" s="3"/>
      <c r="F809" s="3" t="str">
        <f>IFERROR(VLOOKUP(E809, [1]Hotels!$A:$B, 2, FALSE),"")</f>
        <v/>
      </c>
      <c r="G809" s="14"/>
      <c r="H809" s="26"/>
      <c r="I809" s="2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26"/>
      <c r="B810" s="3"/>
      <c r="C810" s="3"/>
      <c r="D810" s="10"/>
      <c r="E810" s="3"/>
      <c r="F810" s="3" t="str">
        <f>IFERROR(VLOOKUP(E810, [1]Hotels!$A:$B, 2, FALSE),"")</f>
        <v/>
      </c>
      <c r="G810" s="14"/>
      <c r="H810" s="26"/>
      <c r="I810" s="2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26"/>
      <c r="B811" s="3"/>
      <c r="C811" s="3"/>
      <c r="D811" s="10"/>
      <c r="E811" s="3"/>
      <c r="F811" s="3" t="str">
        <f>IFERROR(VLOOKUP(E811, [1]Hotels!$A:$B, 2, FALSE),"")</f>
        <v/>
      </c>
      <c r="G811" s="14"/>
      <c r="H811" s="26"/>
      <c r="I811" s="2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26"/>
      <c r="B812" s="3"/>
      <c r="C812" s="3"/>
      <c r="D812" s="10"/>
      <c r="E812" s="3"/>
      <c r="F812" s="3" t="str">
        <f>IFERROR(VLOOKUP(E812, [1]Hotels!$A:$B, 2, FALSE),"")</f>
        <v/>
      </c>
      <c r="G812" s="14"/>
      <c r="H812" s="26"/>
      <c r="I812" s="2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26"/>
      <c r="B813" s="3"/>
      <c r="C813" s="3"/>
      <c r="D813" s="10"/>
      <c r="E813" s="3"/>
      <c r="F813" s="3" t="str">
        <f>IFERROR(VLOOKUP(E813, [1]Hotels!$A:$B, 2, FALSE),"")</f>
        <v/>
      </c>
      <c r="G813" s="14"/>
      <c r="H813" s="26"/>
      <c r="I813" s="2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26"/>
      <c r="B814" s="3"/>
      <c r="C814" s="3"/>
      <c r="D814" s="10"/>
      <c r="E814" s="3"/>
      <c r="F814" s="3" t="str">
        <f>IFERROR(VLOOKUP(E814, [1]Hotels!$A:$B, 2, FALSE),"")</f>
        <v/>
      </c>
      <c r="G814" s="14"/>
      <c r="H814" s="26"/>
      <c r="I814" s="2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26"/>
      <c r="B815" s="3"/>
      <c r="C815" s="3"/>
      <c r="D815" s="10"/>
      <c r="E815" s="3"/>
      <c r="F815" s="3" t="str">
        <f>IFERROR(VLOOKUP(E815, [1]Hotels!$A:$B, 2, FALSE),"")</f>
        <v/>
      </c>
      <c r="G815" s="14"/>
      <c r="H815" s="26"/>
      <c r="I815" s="2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26"/>
      <c r="B816" s="3"/>
      <c r="C816" s="3"/>
      <c r="D816" s="10"/>
      <c r="E816" s="3"/>
      <c r="F816" s="3" t="str">
        <f>IFERROR(VLOOKUP(E816, [1]Hotels!$A:$B, 2, FALSE),"")</f>
        <v/>
      </c>
      <c r="G816" s="14"/>
      <c r="H816" s="26"/>
      <c r="I816" s="2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26"/>
      <c r="B817" s="3"/>
      <c r="C817" s="3"/>
      <c r="D817" s="10"/>
      <c r="E817" s="3"/>
      <c r="F817" s="3" t="str">
        <f>IFERROR(VLOOKUP(E817, [1]Hotels!$A:$B, 2, FALSE),"")</f>
        <v/>
      </c>
      <c r="G817" s="14"/>
      <c r="H817" s="26"/>
      <c r="I817" s="2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26"/>
      <c r="B818" s="3"/>
      <c r="C818" s="3"/>
      <c r="D818" s="10"/>
      <c r="E818" s="3"/>
      <c r="F818" s="3" t="str">
        <f>IFERROR(VLOOKUP(E818, [1]Hotels!$A:$B, 2, FALSE),"")</f>
        <v/>
      </c>
      <c r="G818" s="14"/>
      <c r="H818" s="26"/>
      <c r="I818" s="2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26"/>
      <c r="B819" s="3"/>
      <c r="C819" s="3"/>
      <c r="D819" s="10"/>
      <c r="E819" s="3"/>
      <c r="F819" s="3" t="str">
        <f>IFERROR(VLOOKUP(E819, [1]Hotels!$A:$B, 2, FALSE),"")</f>
        <v/>
      </c>
      <c r="G819" s="14"/>
      <c r="H819" s="26"/>
      <c r="I819" s="2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26"/>
      <c r="B820" s="3"/>
      <c r="C820" s="3"/>
      <c r="D820" s="10"/>
      <c r="E820" s="3"/>
      <c r="F820" s="3" t="str">
        <f>IFERROR(VLOOKUP(E820, [1]Hotels!$A:$B, 2, FALSE),"")</f>
        <v/>
      </c>
      <c r="G820" s="14"/>
      <c r="H820" s="26"/>
      <c r="I820" s="2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26"/>
      <c r="B821" s="3"/>
      <c r="C821" s="3"/>
      <c r="D821" s="10"/>
      <c r="E821" s="3"/>
      <c r="F821" s="3" t="str">
        <f>IFERROR(VLOOKUP(E821, [1]Hotels!$A:$B, 2, FALSE),"")</f>
        <v/>
      </c>
      <c r="G821" s="14"/>
      <c r="H821" s="26"/>
      <c r="I821" s="2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26"/>
      <c r="B822" s="3"/>
      <c r="C822" s="3"/>
      <c r="D822" s="10"/>
      <c r="E822" s="3"/>
      <c r="F822" s="3" t="str">
        <f>IFERROR(VLOOKUP(E822, [1]Hotels!$A:$B, 2, FALSE),"")</f>
        <v/>
      </c>
      <c r="G822" s="14"/>
      <c r="H822" s="26"/>
      <c r="I822" s="2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26"/>
      <c r="B823" s="3"/>
      <c r="C823" s="3"/>
      <c r="D823" s="10"/>
      <c r="E823" s="3"/>
      <c r="F823" s="3" t="str">
        <f>IFERROR(VLOOKUP(E823, [1]Hotels!$A:$B, 2, FALSE),"")</f>
        <v/>
      </c>
      <c r="G823" s="14"/>
      <c r="H823" s="26"/>
      <c r="I823" s="2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26"/>
      <c r="B824" s="3"/>
      <c r="C824" s="3"/>
      <c r="D824" s="10"/>
      <c r="E824" s="3"/>
      <c r="F824" s="3" t="str">
        <f>IFERROR(VLOOKUP(E824, [1]Hotels!$A:$B, 2, FALSE),"")</f>
        <v/>
      </c>
      <c r="G824" s="14"/>
      <c r="H824" s="26"/>
      <c r="I824" s="2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26"/>
      <c r="B825" s="3"/>
      <c r="C825" s="3"/>
      <c r="D825" s="10"/>
      <c r="E825" s="3"/>
      <c r="F825" s="3" t="str">
        <f>IFERROR(VLOOKUP(E825, [1]Hotels!$A:$B, 2, FALSE),"")</f>
        <v/>
      </c>
      <c r="G825" s="14"/>
      <c r="H825" s="26"/>
      <c r="I825" s="2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26"/>
      <c r="B826" s="3"/>
      <c r="C826" s="3"/>
      <c r="D826" s="10"/>
      <c r="E826" s="3"/>
      <c r="F826" s="3" t="str">
        <f>IFERROR(VLOOKUP(E826, [1]Hotels!$A:$B, 2, FALSE),"")</f>
        <v/>
      </c>
      <c r="G826" s="14"/>
      <c r="H826" s="26"/>
      <c r="I826" s="2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26"/>
      <c r="B827" s="3"/>
      <c r="C827" s="3"/>
      <c r="D827" s="10"/>
      <c r="E827" s="3"/>
      <c r="F827" s="3" t="str">
        <f>IFERROR(VLOOKUP(E827, [1]Hotels!$A:$B, 2, FALSE),"")</f>
        <v/>
      </c>
      <c r="G827" s="14"/>
      <c r="H827" s="26"/>
      <c r="I827" s="2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26"/>
      <c r="B828" s="3"/>
      <c r="C828" s="3"/>
      <c r="D828" s="10"/>
      <c r="E828" s="3"/>
      <c r="F828" s="3" t="str">
        <f>IFERROR(VLOOKUP(E828, [1]Hotels!$A:$B, 2, FALSE),"")</f>
        <v/>
      </c>
      <c r="G828" s="14"/>
      <c r="H828" s="26"/>
      <c r="I828" s="2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26"/>
      <c r="B829" s="3"/>
      <c r="C829" s="3"/>
      <c r="D829" s="10"/>
      <c r="E829" s="3"/>
      <c r="F829" s="3" t="str">
        <f>IFERROR(VLOOKUP(E829, [1]Hotels!$A:$B, 2, FALSE),"")</f>
        <v/>
      </c>
      <c r="G829" s="14"/>
      <c r="H829" s="26"/>
      <c r="I829" s="2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26"/>
      <c r="B830" s="3"/>
      <c r="C830" s="3"/>
      <c r="D830" s="10"/>
      <c r="E830" s="3"/>
      <c r="F830" s="3" t="str">
        <f>IFERROR(VLOOKUP(E830, [1]Hotels!$A:$B, 2, FALSE),"")</f>
        <v/>
      </c>
      <c r="G830" s="14"/>
      <c r="H830" s="26"/>
      <c r="I830" s="2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26"/>
      <c r="B831" s="3"/>
      <c r="C831" s="3"/>
      <c r="D831" s="10"/>
      <c r="E831" s="3"/>
      <c r="F831" s="3" t="str">
        <f>IFERROR(VLOOKUP(E831, [1]Hotels!$A:$B, 2, FALSE),"")</f>
        <v/>
      </c>
      <c r="G831" s="14"/>
      <c r="H831" s="26"/>
      <c r="I831" s="2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26"/>
      <c r="B832" s="3"/>
      <c r="C832" s="3"/>
      <c r="D832" s="10"/>
      <c r="E832" s="3"/>
      <c r="F832" s="3" t="str">
        <f>IFERROR(VLOOKUP(E832, [1]Hotels!$A:$B, 2, FALSE),"")</f>
        <v/>
      </c>
      <c r="G832" s="14"/>
      <c r="H832" s="26"/>
      <c r="I832" s="2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26"/>
      <c r="B833" s="3"/>
      <c r="C833" s="3"/>
      <c r="D833" s="10"/>
      <c r="E833" s="3"/>
      <c r="F833" s="3" t="str">
        <f>IFERROR(VLOOKUP(E833, [1]Hotels!$A:$B, 2, FALSE),"")</f>
        <v/>
      </c>
      <c r="G833" s="14"/>
      <c r="H833" s="26"/>
      <c r="I833" s="2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26"/>
      <c r="B834" s="3"/>
      <c r="C834" s="3"/>
      <c r="D834" s="10"/>
      <c r="E834" s="3"/>
      <c r="F834" s="3" t="str">
        <f>IFERROR(VLOOKUP(E834, [1]Hotels!$A:$B, 2, FALSE),"")</f>
        <v/>
      </c>
      <c r="G834" s="14"/>
      <c r="H834" s="26"/>
      <c r="I834" s="2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26"/>
      <c r="B835" s="3"/>
      <c r="C835" s="3"/>
      <c r="D835" s="10"/>
      <c r="E835" s="3"/>
      <c r="F835" s="3" t="str">
        <f>IFERROR(VLOOKUP(E835, [1]Hotels!$A:$B, 2, FALSE),"")</f>
        <v/>
      </c>
      <c r="G835" s="14"/>
      <c r="H835" s="26"/>
      <c r="I835" s="2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26"/>
      <c r="B836" s="3"/>
      <c r="C836" s="3"/>
      <c r="D836" s="10"/>
      <c r="E836" s="3"/>
      <c r="F836" s="3" t="str">
        <f>IFERROR(VLOOKUP(E836, [1]Hotels!$A:$B, 2, FALSE),"")</f>
        <v/>
      </c>
      <c r="G836" s="14"/>
      <c r="H836" s="26"/>
      <c r="I836" s="2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26"/>
      <c r="B837" s="3"/>
      <c r="C837" s="3"/>
      <c r="D837" s="10"/>
      <c r="E837" s="3"/>
      <c r="F837" s="3" t="str">
        <f>IFERROR(VLOOKUP(E837, [1]Hotels!$A:$B, 2, FALSE),"")</f>
        <v/>
      </c>
      <c r="G837" s="14"/>
      <c r="H837" s="26"/>
      <c r="I837" s="2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26"/>
      <c r="B838" s="3"/>
      <c r="C838" s="3"/>
      <c r="D838" s="10"/>
      <c r="E838" s="3"/>
      <c r="F838" s="3" t="str">
        <f>IFERROR(VLOOKUP(E838, [1]Hotels!$A:$B, 2, FALSE),"")</f>
        <v/>
      </c>
      <c r="G838" s="14"/>
      <c r="H838" s="26"/>
      <c r="I838" s="2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26"/>
      <c r="B839" s="3"/>
      <c r="C839" s="3"/>
      <c r="D839" s="10"/>
      <c r="E839" s="3"/>
      <c r="F839" s="3" t="str">
        <f>IFERROR(VLOOKUP(E839, [1]Hotels!$A:$B, 2, FALSE),"")</f>
        <v/>
      </c>
      <c r="G839" s="14"/>
      <c r="H839" s="26"/>
      <c r="I839" s="2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26"/>
      <c r="B840" s="3"/>
      <c r="C840" s="3"/>
      <c r="D840" s="10"/>
      <c r="E840" s="3"/>
      <c r="F840" s="3" t="str">
        <f>IFERROR(VLOOKUP(E840, [1]Hotels!$A:$B, 2, FALSE),"")</f>
        <v/>
      </c>
      <c r="G840" s="14"/>
      <c r="H840" s="26"/>
      <c r="I840" s="2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26"/>
      <c r="B841" s="3"/>
      <c r="C841" s="3"/>
      <c r="D841" s="10"/>
      <c r="E841" s="3"/>
      <c r="F841" s="3" t="str">
        <f>IFERROR(VLOOKUP(E841, [1]Hotels!$A:$B, 2, FALSE),"")</f>
        <v/>
      </c>
      <c r="G841" s="14"/>
      <c r="H841" s="26"/>
      <c r="I841" s="2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26"/>
      <c r="B842" s="3"/>
      <c r="C842" s="3"/>
      <c r="D842" s="10"/>
      <c r="E842" s="3"/>
      <c r="F842" s="3" t="str">
        <f>IFERROR(VLOOKUP(E842, [1]Hotels!$A:$B, 2, FALSE),"")</f>
        <v/>
      </c>
      <c r="G842" s="14"/>
      <c r="H842" s="26"/>
      <c r="I842" s="2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26"/>
      <c r="B843" s="3"/>
      <c r="C843" s="3"/>
      <c r="D843" s="10"/>
      <c r="E843" s="3"/>
      <c r="F843" s="3" t="str">
        <f>IFERROR(VLOOKUP(E843, [1]Hotels!$A:$B, 2, FALSE),"")</f>
        <v/>
      </c>
      <c r="G843" s="14"/>
      <c r="H843" s="26"/>
      <c r="I843" s="2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26"/>
      <c r="B844" s="3"/>
      <c r="C844" s="3"/>
      <c r="D844" s="10"/>
      <c r="E844" s="3"/>
      <c r="F844" s="3" t="str">
        <f>IFERROR(VLOOKUP(E844, [1]Hotels!$A:$B, 2, FALSE),"")</f>
        <v/>
      </c>
      <c r="G844" s="14"/>
      <c r="H844" s="26"/>
      <c r="I844" s="2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26"/>
      <c r="B845" s="3"/>
      <c r="C845" s="3"/>
      <c r="D845" s="10"/>
      <c r="E845" s="3"/>
      <c r="F845" s="3" t="str">
        <f>IFERROR(VLOOKUP(E845, [1]Hotels!$A:$B, 2, FALSE),"")</f>
        <v/>
      </c>
      <c r="G845" s="14"/>
      <c r="H845" s="26"/>
      <c r="I845" s="2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26"/>
      <c r="B846" s="3"/>
      <c r="C846" s="3"/>
      <c r="D846" s="10"/>
      <c r="E846" s="3"/>
      <c r="F846" s="3" t="str">
        <f>IFERROR(VLOOKUP(E846, [1]Hotels!$A:$B, 2, FALSE),"")</f>
        <v/>
      </c>
      <c r="G846" s="14"/>
      <c r="H846" s="26"/>
      <c r="I846" s="2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26"/>
      <c r="B847" s="3"/>
      <c r="C847" s="3"/>
      <c r="D847" s="10"/>
      <c r="E847" s="3"/>
      <c r="F847" s="3" t="str">
        <f>IFERROR(VLOOKUP(E847, [1]Hotels!$A:$B, 2, FALSE),"")</f>
        <v/>
      </c>
      <c r="G847" s="14"/>
      <c r="H847" s="26"/>
      <c r="I847" s="2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26"/>
      <c r="B848" s="3"/>
      <c r="C848" s="3"/>
      <c r="D848" s="10"/>
      <c r="E848" s="3"/>
      <c r="F848" s="3" t="str">
        <f>IFERROR(VLOOKUP(E848, [1]Hotels!$A:$B, 2, FALSE),"")</f>
        <v/>
      </c>
      <c r="G848" s="14"/>
      <c r="H848" s="26"/>
      <c r="I848" s="2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26"/>
      <c r="B849" s="3"/>
      <c r="C849" s="3"/>
      <c r="D849" s="10"/>
      <c r="E849" s="3"/>
      <c r="F849" s="3" t="str">
        <f>IFERROR(VLOOKUP(E849, [1]Hotels!$A:$B, 2, FALSE),"")</f>
        <v/>
      </c>
      <c r="G849" s="14"/>
      <c r="H849" s="26"/>
      <c r="I849" s="2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26"/>
      <c r="B850" s="3"/>
      <c r="C850" s="3"/>
      <c r="D850" s="10"/>
      <c r="E850" s="3"/>
      <c r="F850" s="3" t="str">
        <f>IFERROR(VLOOKUP(E850, [1]Hotels!$A:$B, 2, FALSE),"")</f>
        <v/>
      </c>
      <c r="G850" s="14"/>
      <c r="H850" s="26"/>
      <c r="I850" s="2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26"/>
      <c r="B851" s="3"/>
      <c r="C851" s="3"/>
      <c r="D851" s="10"/>
      <c r="E851" s="3"/>
      <c r="F851" s="3" t="str">
        <f>IFERROR(VLOOKUP(E851, [1]Hotels!$A:$B, 2, FALSE),"")</f>
        <v/>
      </c>
      <c r="G851" s="14"/>
      <c r="H851" s="26"/>
      <c r="I851" s="2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26"/>
      <c r="B852" s="3"/>
      <c r="C852" s="3"/>
      <c r="D852" s="10"/>
      <c r="E852" s="3"/>
      <c r="F852" s="3" t="str">
        <f>IFERROR(VLOOKUP(E852, [1]Hotels!$A:$B, 2, FALSE),"")</f>
        <v/>
      </c>
      <c r="G852" s="14"/>
      <c r="H852" s="26"/>
      <c r="I852" s="2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26"/>
      <c r="B853" s="3"/>
      <c r="C853" s="3"/>
      <c r="D853" s="10"/>
      <c r="E853" s="3"/>
      <c r="F853" s="3" t="str">
        <f>IFERROR(VLOOKUP(E853, [1]Hotels!$A:$B, 2, FALSE),"")</f>
        <v/>
      </c>
      <c r="G853" s="14"/>
      <c r="H853" s="26"/>
      <c r="I853" s="2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26"/>
      <c r="B854" s="3"/>
      <c r="C854" s="3"/>
      <c r="D854" s="10"/>
      <c r="E854" s="3"/>
      <c r="F854" s="3" t="str">
        <f>IFERROR(VLOOKUP(E854, [1]Hotels!$A:$B, 2, FALSE),"")</f>
        <v/>
      </c>
      <c r="G854" s="14"/>
      <c r="H854" s="26"/>
      <c r="I854" s="2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26"/>
      <c r="B855" s="3"/>
      <c r="C855" s="3"/>
      <c r="D855" s="10"/>
      <c r="E855" s="3"/>
      <c r="F855" s="3" t="str">
        <f>IFERROR(VLOOKUP(E855, [1]Hotels!$A:$B, 2, FALSE),"")</f>
        <v/>
      </c>
      <c r="G855" s="14"/>
      <c r="H855" s="26"/>
      <c r="I855" s="2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26"/>
      <c r="B856" s="3"/>
      <c r="C856" s="3"/>
      <c r="D856" s="10"/>
      <c r="E856" s="3"/>
      <c r="F856" s="3" t="str">
        <f>IFERROR(VLOOKUP(E856, [1]Hotels!$A:$B, 2, FALSE),"")</f>
        <v/>
      </c>
      <c r="G856" s="14"/>
      <c r="H856" s="26"/>
      <c r="I856" s="2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26"/>
      <c r="B857" s="3"/>
      <c r="C857" s="3"/>
      <c r="D857" s="10"/>
      <c r="E857" s="3"/>
      <c r="F857" s="3" t="str">
        <f>IFERROR(VLOOKUP(E857, [1]Hotels!$A:$B, 2, FALSE),"")</f>
        <v/>
      </c>
      <c r="G857" s="14"/>
      <c r="H857" s="26"/>
      <c r="I857" s="2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26"/>
      <c r="B858" s="3"/>
      <c r="C858" s="3"/>
      <c r="D858" s="10"/>
      <c r="E858" s="3"/>
      <c r="F858" s="3" t="str">
        <f>IFERROR(VLOOKUP(E858, [1]Hotels!$A:$B, 2, FALSE),"")</f>
        <v/>
      </c>
      <c r="G858" s="14"/>
      <c r="H858" s="26"/>
      <c r="I858" s="2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26"/>
      <c r="B859" s="3"/>
      <c r="C859" s="3"/>
      <c r="D859" s="10"/>
      <c r="E859" s="3"/>
      <c r="F859" s="3" t="str">
        <f>IFERROR(VLOOKUP(E859, [1]Hotels!$A:$B, 2, FALSE),"")</f>
        <v/>
      </c>
      <c r="G859" s="14"/>
      <c r="H859" s="26"/>
      <c r="I859" s="2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26"/>
      <c r="B860" s="3"/>
      <c r="C860" s="3"/>
      <c r="D860" s="10"/>
      <c r="E860" s="3"/>
      <c r="F860" s="3" t="str">
        <f>IFERROR(VLOOKUP(E860, [1]Hotels!$A:$B, 2, FALSE),"")</f>
        <v/>
      </c>
      <c r="G860" s="14"/>
      <c r="H860" s="26"/>
      <c r="I860" s="2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26"/>
      <c r="B861" s="3"/>
      <c r="C861" s="3"/>
      <c r="D861" s="10"/>
      <c r="E861" s="3"/>
      <c r="F861" s="3" t="str">
        <f>IFERROR(VLOOKUP(E861, [1]Hotels!$A:$B, 2, FALSE),"")</f>
        <v/>
      </c>
      <c r="G861" s="14"/>
      <c r="H861" s="26"/>
      <c r="I861" s="2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26"/>
      <c r="B862" s="3"/>
      <c r="C862" s="3"/>
      <c r="D862" s="10"/>
      <c r="E862" s="3"/>
      <c r="F862" s="3" t="str">
        <f>IFERROR(VLOOKUP(E862, [1]Hotels!$A:$B, 2, FALSE),"")</f>
        <v/>
      </c>
      <c r="G862" s="14"/>
      <c r="H862" s="26"/>
      <c r="I862" s="2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26"/>
      <c r="B863" s="3"/>
      <c r="C863" s="3"/>
      <c r="D863" s="10"/>
      <c r="E863" s="3"/>
      <c r="F863" s="3" t="str">
        <f>IFERROR(VLOOKUP(E863, [1]Hotels!$A:$B, 2, FALSE),"")</f>
        <v/>
      </c>
      <c r="G863" s="14"/>
      <c r="H863" s="26"/>
      <c r="I863" s="2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26"/>
      <c r="B864" s="3"/>
      <c r="C864" s="3"/>
      <c r="D864" s="10"/>
      <c r="E864" s="3"/>
      <c r="F864" s="3" t="str">
        <f>IFERROR(VLOOKUP(E864, [1]Hotels!$A:$B, 2, FALSE),"")</f>
        <v/>
      </c>
      <c r="G864" s="14"/>
      <c r="H864" s="26"/>
      <c r="I864" s="2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26"/>
      <c r="B865" s="3"/>
      <c r="C865" s="3"/>
      <c r="D865" s="10"/>
      <c r="E865" s="3"/>
      <c r="F865" s="3" t="str">
        <f>IFERROR(VLOOKUP(E865, [1]Hotels!$A:$B, 2, FALSE),"")</f>
        <v/>
      </c>
      <c r="G865" s="14"/>
      <c r="H865" s="26"/>
      <c r="I865" s="2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26"/>
      <c r="B866" s="3"/>
      <c r="C866" s="3"/>
      <c r="D866" s="10"/>
      <c r="E866" s="3"/>
      <c r="F866" s="3" t="str">
        <f>IFERROR(VLOOKUP(E866, [1]Hotels!$A:$B, 2, FALSE),"")</f>
        <v/>
      </c>
      <c r="G866" s="14"/>
      <c r="H866" s="26"/>
      <c r="I866" s="2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26"/>
      <c r="B867" s="3"/>
      <c r="C867" s="3"/>
      <c r="D867" s="10"/>
      <c r="E867" s="3"/>
      <c r="F867" s="3" t="str">
        <f>IFERROR(VLOOKUP(E867, [1]Hotels!$A:$B, 2, FALSE),"")</f>
        <v/>
      </c>
      <c r="G867" s="14"/>
      <c r="H867" s="26"/>
      <c r="I867" s="2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26"/>
      <c r="B868" s="3"/>
      <c r="C868" s="3"/>
      <c r="D868" s="10"/>
      <c r="E868" s="3"/>
      <c r="F868" s="3" t="str">
        <f>IFERROR(VLOOKUP(E868, [1]Hotels!$A:$B, 2, FALSE),"")</f>
        <v/>
      </c>
      <c r="G868" s="14"/>
      <c r="H868" s="26"/>
      <c r="I868" s="2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26"/>
      <c r="B869" s="3"/>
      <c r="C869" s="3"/>
      <c r="D869" s="10"/>
      <c r="E869" s="3"/>
      <c r="F869" s="3" t="str">
        <f>IFERROR(VLOOKUP(E869, [1]Hotels!$A:$B, 2, FALSE),"")</f>
        <v/>
      </c>
      <c r="G869" s="14"/>
      <c r="H869" s="26"/>
      <c r="I869" s="2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26"/>
      <c r="B870" s="3"/>
      <c r="C870" s="3"/>
      <c r="D870" s="10"/>
      <c r="E870" s="3"/>
      <c r="F870" s="3" t="str">
        <f>IFERROR(VLOOKUP(E870, [1]Hotels!$A:$B, 2, FALSE),"")</f>
        <v/>
      </c>
      <c r="G870" s="14"/>
      <c r="H870" s="26"/>
      <c r="I870" s="2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26"/>
      <c r="B871" s="3"/>
      <c r="C871" s="3"/>
      <c r="D871" s="10"/>
      <c r="E871" s="3"/>
      <c r="F871" s="3" t="str">
        <f>IFERROR(VLOOKUP(E871, [1]Hotels!$A:$B, 2, FALSE),"")</f>
        <v/>
      </c>
      <c r="G871" s="14"/>
      <c r="H871" s="26"/>
      <c r="I871" s="2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26"/>
      <c r="B872" s="3"/>
      <c r="C872" s="3"/>
      <c r="D872" s="10"/>
      <c r="E872" s="3"/>
      <c r="F872" s="3" t="str">
        <f>IFERROR(VLOOKUP(E872, [1]Hotels!$A:$B, 2, FALSE),"")</f>
        <v/>
      </c>
      <c r="G872" s="14"/>
      <c r="H872" s="26"/>
      <c r="I872" s="2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26"/>
      <c r="B873" s="3"/>
      <c r="C873" s="3"/>
      <c r="D873" s="10"/>
      <c r="E873" s="3"/>
      <c r="F873" s="3" t="str">
        <f>IFERROR(VLOOKUP(E873, [1]Hotels!$A:$B, 2, FALSE),"")</f>
        <v/>
      </c>
      <c r="G873" s="14"/>
      <c r="H873" s="26"/>
      <c r="I873" s="2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26"/>
      <c r="B874" s="3"/>
      <c r="C874" s="3"/>
      <c r="D874" s="10"/>
      <c r="E874" s="3"/>
      <c r="F874" s="3" t="str">
        <f>IFERROR(VLOOKUP(E874, [1]Hotels!$A:$B, 2, FALSE),"")</f>
        <v/>
      </c>
      <c r="G874" s="14"/>
      <c r="H874" s="26"/>
      <c r="I874" s="2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26"/>
      <c r="B875" s="3"/>
      <c r="C875" s="3"/>
      <c r="D875" s="10"/>
      <c r="E875" s="3"/>
      <c r="F875" s="3" t="str">
        <f>IFERROR(VLOOKUP(E875, [1]Hotels!$A:$B, 2, FALSE),"")</f>
        <v/>
      </c>
      <c r="G875" s="14"/>
      <c r="H875" s="26"/>
      <c r="I875" s="2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26"/>
      <c r="B876" s="3"/>
      <c r="C876" s="3"/>
      <c r="D876" s="10"/>
      <c r="E876" s="3"/>
      <c r="F876" s="3" t="str">
        <f>IFERROR(VLOOKUP(E876, [1]Hotels!$A:$B, 2, FALSE),"")</f>
        <v/>
      </c>
      <c r="G876" s="14"/>
      <c r="H876" s="26"/>
      <c r="I876" s="2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26"/>
      <c r="B877" s="3"/>
      <c r="C877" s="3"/>
      <c r="D877" s="10"/>
      <c r="E877" s="3"/>
      <c r="F877" s="3" t="str">
        <f>IFERROR(VLOOKUP(E877, [1]Hotels!$A:$B, 2, FALSE),"")</f>
        <v/>
      </c>
      <c r="G877" s="14"/>
      <c r="H877" s="26"/>
      <c r="I877" s="2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26"/>
      <c r="B878" s="3"/>
      <c r="C878" s="3"/>
      <c r="D878" s="10"/>
      <c r="E878" s="3"/>
      <c r="F878" s="3" t="str">
        <f>IFERROR(VLOOKUP(E878, [1]Hotels!$A:$B, 2, FALSE),"")</f>
        <v/>
      </c>
      <c r="G878" s="14"/>
      <c r="H878" s="26"/>
      <c r="I878" s="2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26"/>
      <c r="B879" s="3"/>
      <c r="C879" s="3"/>
      <c r="D879" s="10"/>
      <c r="E879" s="3"/>
      <c r="F879" s="3" t="str">
        <f>IFERROR(VLOOKUP(E879, [1]Hotels!$A:$B, 2, FALSE),"")</f>
        <v/>
      </c>
      <c r="G879" s="14"/>
      <c r="H879" s="26"/>
      <c r="I879" s="2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26"/>
      <c r="B880" s="3"/>
      <c r="C880" s="3"/>
      <c r="D880" s="10"/>
      <c r="E880" s="3"/>
      <c r="F880" s="3" t="str">
        <f>IFERROR(VLOOKUP(E880, [1]Hotels!$A:$B, 2, FALSE),"")</f>
        <v/>
      </c>
      <c r="G880" s="14"/>
      <c r="H880" s="26"/>
      <c r="I880" s="2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26"/>
      <c r="B881" s="3"/>
      <c r="C881" s="3"/>
      <c r="D881" s="10"/>
      <c r="E881" s="3"/>
      <c r="F881" s="3" t="str">
        <f>IFERROR(VLOOKUP(E881, [1]Hotels!$A:$B, 2, FALSE),"")</f>
        <v/>
      </c>
      <c r="G881" s="14"/>
      <c r="H881" s="26"/>
      <c r="I881" s="2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26"/>
      <c r="B882" s="3"/>
      <c r="C882" s="3"/>
      <c r="D882" s="10"/>
      <c r="E882" s="3"/>
      <c r="F882" s="3" t="str">
        <f>IFERROR(VLOOKUP(E882, [1]Hotels!$A:$B, 2, FALSE),"")</f>
        <v/>
      </c>
      <c r="G882" s="14"/>
      <c r="H882" s="26"/>
      <c r="I882" s="2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26"/>
      <c r="B883" s="3"/>
      <c r="C883" s="3"/>
      <c r="D883" s="10"/>
      <c r="E883" s="3"/>
      <c r="F883" s="3" t="str">
        <f>IFERROR(VLOOKUP(E883, [1]Hotels!$A:$B, 2, FALSE),"")</f>
        <v/>
      </c>
      <c r="G883" s="14"/>
      <c r="H883" s="26"/>
      <c r="I883" s="2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26"/>
      <c r="B884" s="3"/>
      <c r="C884" s="3"/>
      <c r="D884" s="10"/>
      <c r="E884" s="3"/>
      <c r="F884" s="3" t="str">
        <f>IFERROR(VLOOKUP(E884, [1]Hotels!$A:$B, 2, FALSE),"")</f>
        <v/>
      </c>
      <c r="G884" s="14"/>
      <c r="H884" s="26"/>
      <c r="I884" s="2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26"/>
      <c r="B885" s="3"/>
      <c r="C885" s="3"/>
      <c r="D885" s="10"/>
      <c r="E885" s="3"/>
      <c r="F885" s="3" t="str">
        <f>IFERROR(VLOOKUP(E885, [1]Hotels!$A:$B, 2, FALSE),"")</f>
        <v/>
      </c>
      <c r="G885" s="14"/>
      <c r="H885" s="26"/>
      <c r="I885" s="2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26"/>
      <c r="B886" s="3"/>
      <c r="C886" s="3"/>
      <c r="D886" s="10"/>
      <c r="E886" s="3"/>
      <c r="F886" s="3" t="str">
        <f>IFERROR(VLOOKUP(E886, [1]Hotels!$A:$B, 2, FALSE),"")</f>
        <v/>
      </c>
      <c r="G886" s="14"/>
      <c r="H886" s="26"/>
      <c r="I886" s="2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26"/>
      <c r="B887" s="3"/>
      <c r="C887" s="3"/>
      <c r="D887" s="10"/>
      <c r="E887" s="3"/>
      <c r="F887" s="3" t="str">
        <f>IFERROR(VLOOKUP(E887, [1]Hotels!$A:$B, 2, FALSE),"")</f>
        <v/>
      </c>
      <c r="G887" s="14"/>
      <c r="H887" s="26"/>
      <c r="I887" s="2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26"/>
      <c r="B888" s="3"/>
      <c r="C888" s="3"/>
      <c r="D888" s="10"/>
      <c r="E888" s="3"/>
      <c r="F888" s="3" t="str">
        <f>IFERROR(VLOOKUP(E888, [1]Hotels!$A:$B, 2, FALSE),"")</f>
        <v/>
      </c>
      <c r="G888" s="14"/>
      <c r="H888" s="26"/>
      <c r="I888" s="2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26"/>
      <c r="B889" s="3"/>
      <c r="C889" s="3"/>
      <c r="D889" s="10"/>
      <c r="E889" s="3"/>
      <c r="F889" s="3" t="str">
        <f>IFERROR(VLOOKUP(E889, [1]Hotels!$A:$B, 2, FALSE),"")</f>
        <v/>
      </c>
      <c r="G889" s="14"/>
      <c r="H889" s="26"/>
      <c r="I889" s="2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26"/>
      <c r="B890" s="3"/>
      <c r="C890" s="3"/>
      <c r="D890" s="10"/>
      <c r="E890" s="3"/>
      <c r="F890" s="3" t="str">
        <f>IFERROR(VLOOKUP(E890, [1]Hotels!$A:$B, 2, FALSE),"")</f>
        <v/>
      </c>
      <c r="G890" s="14"/>
      <c r="H890" s="26"/>
      <c r="I890" s="2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26"/>
      <c r="B891" s="3"/>
      <c r="C891" s="3"/>
      <c r="D891" s="10"/>
      <c r="E891" s="3"/>
      <c r="F891" s="3" t="str">
        <f>IFERROR(VLOOKUP(E891, [1]Hotels!$A:$B, 2, FALSE),"")</f>
        <v/>
      </c>
      <c r="G891" s="14"/>
      <c r="H891" s="26"/>
      <c r="I891" s="2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26"/>
      <c r="B892" s="3"/>
      <c r="C892" s="3"/>
      <c r="D892" s="10"/>
      <c r="E892" s="3"/>
      <c r="F892" s="3" t="str">
        <f>IFERROR(VLOOKUP(E892, [1]Hotels!$A:$B, 2, FALSE),"")</f>
        <v/>
      </c>
      <c r="G892" s="14"/>
      <c r="H892" s="26"/>
      <c r="I892" s="2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26"/>
      <c r="B893" s="3"/>
      <c r="C893" s="3"/>
      <c r="D893" s="10"/>
      <c r="E893" s="3"/>
      <c r="F893" s="3" t="str">
        <f>IFERROR(VLOOKUP(E893, [1]Hotels!$A:$B, 2, FALSE),"")</f>
        <v/>
      </c>
      <c r="G893" s="14"/>
      <c r="H893" s="26"/>
      <c r="I893" s="2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26"/>
      <c r="B894" s="3"/>
      <c r="C894" s="3"/>
      <c r="D894" s="10"/>
      <c r="E894" s="3"/>
      <c r="F894" s="3" t="str">
        <f>IFERROR(VLOOKUP(E894, [1]Hotels!$A:$B, 2, FALSE),"")</f>
        <v/>
      </c>
      <c r="G894" s="14"/>
      <c r="H894" s="26"/>
      <c r="I894" s="2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26"/>
      <c r="B895" s="3"/>
      <c r="C895" s="3"/>
      <c r="D895" s="10"/>
      <c r="E895" s="3"/>
      <c r="F895" s="3" t="str">
        <f>IFERROR(VLOOKUP(E895, [1]Hotels!$A:$B, 2, FALSE),"")</f>
        <v/>
      </c>
      <c r="G895" s="14"/>
      <c r="H895" s="26"/>
      <c r="I895" s="2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26"/>
      <c r="B896" s="3"/>
      <c r="C896" s="3"/>
      <c r="D896" s="10"/>
      <c r="E896" s="3"/>
      <c r="F896" s="3" t="str">
        <f>IFERROR(VLOOKUP(E896, [1]Hotels!$A:$B, 2, FALSE),"")</f>
        <v/>
      </c>
      <c r="G896" s="14"/>
      <c r="H896" s="26"/>
      <c r="I896" s="2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26"/>
      <c r="B897" s="3"/>
      <c r="C897" s="3"/>
      <c r="D897" s="10"/>
      <c r="E897" s="3"/>
      <c r="F897" s="3" t="str">
        <f>IFERROR(VLOOKUP(E897, [1]Hotels!$A:$B, 2, FALSE),"")</f>
        <v/>
      </c>
      <c r="G897" s="14"/>
      <c r="H897" s="26"/>
      <c r="I897" s="2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26"/>
      <c r="B898" s="3"/>
      <c r="C898" s="3"/>
      <c r="D898" s="10"/>
      <c r="E898" s="3"/>
      <c r="F898" s="3" t="str">
        <f>IFERROR(VLOOKUP(E898, [1]Hotels!$A:$B, 2, FALSE),"")</f>
        <v/>
      </c>
      <c r="G898" s="14"/>
      <c r="H898" s="26"/>
      <c r="I898" s="2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26"/>
      <c r="B899" s="3"/>
      <c r="C899" s="3"/>
      <c r="D899" s="10"/>
      <c r="E899" s="3"/>
      <c r="F899" s="3" t="str">
        <f>IFERROR(VLOOKUP(E899, [1]Hotels!$A:$B, 2, FALSE),"")</f>
        <v/>
      </c>
      <c r="G899" s="14"/>
      <c r="H899" s="26"/>
      <c r="I899" s="2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26"/>
      <c r="B900" s="3"/>
      <c r="C900" s="3"/>
      <c r="D900" s="10"/>
      <c r="E900" s="3"/>
      <c r="F900" s="3" t="str">
        <f>IFERROR(VLOOKUP(E900, [1]Hotels!$A:$B, 2, FALSE),"")</f>
        <v/>
      </c>
      <c r="G900" s="14"/>
      <c r="H900" s="26"/>
      <c r="I900" s="2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26"/>
      <c r="B901" s="3"/>
      <c r="C901" s="3"/>
      <c r="D901" s="10"/>
      <c r="E901" s="3"/>
      <c r="F901" s="3" t="str">
        <f>IFERROR(VLOOKUP(E901, [1]Hotels!$A:$B, 2, FALSE),"")</f>
        <v/>
      </c>
      <c r="G901" s="14"/>
      <c r="H901" s="26"/>
      <c r="I901" s="2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26"/>
      <c r="B902" s="3"/>
      <c r="C902" s="3"/>
      <c r="D902" s="10"/>
      <c r="E902" s="3"/>
      <c r="F902" s="3" t="str">
        <f>IFERROR(VLOOKUP(E902, [1]Hotels!$A:$B, 2, FALSE),"")</f>
        <v/>
      </c>
      <c r="G902" s="14"/>
      <c r="H902" s="26"/>
      <c r="I902" s="2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26"/>
      <c r="B903" s="3"/>
      <c r="C903" s="3"/>
      <c r="D903" s="10"/>
      <c r="E903" s="3"/>
      <c r="F903" s="3" t="str">
        <f>IFERROR(VLOOKUP(E903, [1]Hotels!$A:$B, 2, FALSE),"")</f>
        <v/>
      </c>
      <c r="G903" s="14"/>
      <c r="H903" s="26"/>
      <c r="I903" s="2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26"/>
      <c r="B904" s="3"/>
      <c r="C904" s="3"/>
      <c r="D904" s="10"/>
      <c r="E904" s="3"/>
      <c r="F904" s="3" t="str">
        <f>IFERROR(VLOOKUP(E904, [1]Hotels!$A:$B, 2, FALSE),"")</f>
        <v/>
      </c>
      <c r="G904" s="14"/>
      <c r="H904" s="26"/>
      <c r="I904" s="2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26"/>
      <c r="B905" s="3"/>
      <c r="C905" s="3"/>
      <c r="D905" s="10"/>
      <c r="E905" s="3"/>
      <c r="F905" s="3" t="str">
        <f>IFERROR(VLOOKUP(E905, [1]Hotels!$A:$B, 2, FALSE),"")</f>
        <v/>
      </c>
      <c r="G905" s="14"/>
      <c r="H905" s="26"/>
      <c r="I905" s="2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26"/>
      <c r="B906" s="3"/>
      <c r="C906" s="3"/>
      <c r="D906" s="10"/>
      <c r="E906" s="3"/>
      <c r="F906" s="3" t="str">
        <f>IFERROR(VLOOKUP(E906, [1]Hotels!$A:$B, 2, FALSE),"")</f>
        <v/>
      </c>
      <c r="G906" s="14"/>
      <c r="H906" s="26"/>
      <c r="I906" s="2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26"/>
      <c r="B907" s="3"/>
      <c r="C907" s="3"/>
      <c r="D907" s="10"/>
      <c r="E907" s="3"/>
      <c r="F907" s="3" t="str">
        <f>IFERROR(VLOOKUP(E907, [1]Hotels!$A:$B, 2, FALSE),"")</f>
        <v/>
      </c>
      <c r="G907" s="14"/>
      <c r="H907" s="26"/>
      <c r="I907" s="2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26"/>
      <c r="B908" s="3"/>
      <c r="C908" s="3"/>
      <c r="D908" s="10"/>
      <c r="E908" s="3"/>
      <c r="F908" s="3" t="str">
        <f>IFERROR(VLOOKUP(E908, [1]Hotels!$A:$B, 2, FALSE),"")</f>
        <v/>
      </c>
      <c r="G908" s="14"/>
      <c r="H908" s="26"/>
      <c r="I908" s="2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26"/>
      <c r="B909" s="3"/>
      <c r="C909" s="3"/>
      <c r="D909" s="10"/>
      <c r="E909" s="3"/>
      <c r="F909" s="3" t="str">
        <f>IFERROR(VLOOKUP(E909, [1]Hotels!$A:$B, 2, FALSE),"")</f>
        <v/>
      </c>
      <c r="G909" s="14"/>
      <c r="H909" s="26"/>
      <c r="I909" s="2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26"/>
      <c r="B910" s="3"/>
      <c r="C910" s="3"/>
      <c r="D910" s="10"/>
      <c r="E910" s="3"/>
      <c r="F910" s="3" t="str">
        <f>IFERROR(VLOOKUP(E910, [1]Hotels!$A:$B, 2, FALSE),"")</f>
        <v/>
      </c>
      <c r="G910" s="14"/>
      <c r="H910" s="26"/>
      <c r="I910" s="2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26"/>
      <c r="B911" s="3"/>
      <c r="C911" s="3"/>
      <c r="D911" s="10"/>
      <c r="E911" s="3"/>
      <c r="F911" s="3" t="str">
        <f>IFERROR(VLOOKUP(E911, [1]Hotels!$A:$B, 2, FALSE),"")</f>
        <v/>
      </c>
      <c r="G911" s="14"/>
      <c r="H911" s="26"/>
      <c r="I911" s="2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26"/>
      <c r="B912" s="3"/>
      <c r="C912" s="3"/>
      <c r="D912" s="10"/>
      <c r="E912" s="3"/>
      <c r="F912" s="3" t="str">
        <f>IFERROR(VLOOKUP(E912, [1]Hotels!$A:$B, 2, FALSE),"")</f>
        <v/>
      </c>
      <c r="G912" s="14"/>
      <c r="H912" s="26"/>
      <c r="I912" s="2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26"/>
      <c r="B913" s="3"/>
      <c r="C913" s="3"/>
      <c r="D913" s="10"/>
      <c r="E913" s="3"/>
      <c r="F913" s="3" t="str">
        <f>IFERROR(VLOOKUP(E913, [1]Hotels!$A:$B, 2, FALSE),"")</f>
        <v/>
      </c>
      <c r="G913" s="14"/>
      <c r="H913" s="26"/>
      <c r="I913" s="2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26"/>
      <c r="B914" s="3"/>
      <c r="C914" s="3"/>
      <c r="D914" s="10"/>
      <c r="E914" s="3"/>
      <c r="F914" s="3" t="str">
        <f>IFERROR(VLOOKUP(E914, [1]Hotels!$A:$B, 2, FALSE),"")</f>
        <v/>
      </c>
      <c r="G914" s="14"/>
      <c r="H914" s="26"/>
      <c r="I914" s="2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26"/>
      <c r="B915" s="3"/>
      <c r="C915" s="3"/>
      <c r="D915" s="10"/>
      <c r="E915" s="3"/>
      <c r="F915" s="3" t="str">
        <f>IFERROR(VLOOKUP(E915, [1]Hotels!$A:$B, 2, FALSE),"")</f>
        <v/>
      </c>
      <c r="G915" s="14"/>
      <c r="H915" s="26"/>
      <c r="I915" s="2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26"/>
      <c r="B916" s="3"/>
      <c r="C916" s="3"/>
      <c r="D916" s="10"/>
      <c r="E916" s="3"/>
      <c r="F916" s="3" t="str">
        <f>IFERROR(VLOOKUP(E916, [1]Hotels!$A:$B, 2, FALSE),"")</f>
        <v/>
      </c>
      <c r="G916" s="14"/>
      <c r="H916" s="26"/>
      <c r="I916" s="2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26"/>
      <c r="B917" s="3"/>
      <c r="C917" s="3"/>
      <c r="D917" s="10"/>
      <c r="E917" s="3"/>
      <c r="F917" s="3" t="str">
        <f>IFERROR(VLOOKUP(E917, [1]Hotels!$A:$B, 2, FALSE),"")</f>
        <v/>
      </c>
      <c r="G917" s="14"/>
      <c r="H917" s="26"/>
      <c r="I917" s="2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26"/>
      <c r="B918" s="3"/>
      <c r="C918" s="3"/>
      <c r="D918" s="10"/>
      <c r="E918" s="3"/>
      <c r="F918" s="3" t="str">
        <f>IFERROR(VLOOKUP(E918, [1]Hotels!$A:$B, 2, FALSE),"")</f>
        <v/>
      </c>
      <c r="G918" s="14"/>
      <c r="H918" s="26"/>
      <c r="I918" s="2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26"/>
      <c r="B919" s="3"/>
      <c r="C919" s="3"/>
      <c r="D919" s="10"/>
      <c r="E919" s="3"/>
      <c r="F919" s="3" t="str">
        <f>IFERROR(VLOOKUP(E919, [1]Hotels!$A:$B, 2, FALSE),"")</f>
        <v/>
      </c>
      <c r="G919" s="14"/>
      <c r="H919" s="26"/>
      <c r="I919" s="2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26"/>
      <c r="B920" s="3"/>
      <c r="C920" s="3"/>
      <c r="D920" s="10"/>
      <c r="E920" s="3"/>
      <c r="F920" s="3" t="str">
        <f>IFERROR(VLOOKUP(E920, [1]Hotels!$A:$B, 2, FALSE),"")</f>
        <v/>
      </c>
      <c r="G920" s="14"/>
      <c r="H920" s="26"/>
      <c r="I920" s="2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26"/>
      <c r="B921" s="3"/>
      <c r="C921" s="3"/>
      <c r="D921" s="10"/>
      <c r="E921" s="3"/>
      <c r="F921" s="3" t="str">
        <f>IFERROR(VLOOKUP(E921, [1]Hotels!$A:$B, 2, FALSE),"")</f>
        <v/>
      </c>
      <c r="G921" s="14"/>
      <c r="H921" s="26"/>
      <c r="I921" s="2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26"/>
      <c r="B922" s="3"/>
      <c r="C922" s="3"/>
      <c r="D922" s="10"/>
      <c r="E922" s="3"/>
      <c r="F922" s="3" t="str">
        <f>IFERROR(VLOOKUP(E922, [1]Hotels!$A:$B, 2, FALSE),"")</f>
        <v/>
      </c>
      <c r="G922" s="14"/>
      <c r="H922" s="26"/>
      <c r="I922" s="2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26"/>
      <c r="B923" s="3"/>
      <c r="C923" s="3"/>
      <c r="D923" s="10"/>
      <c r="E923" s="3"/>
      <c r="F923" s="3" t="str">
        <f>IFERROR(VLOOKUP(E923, [1]Hotels!$A:$B, 2, FALSE),"")</f>
        <v/>
      </c>
      <c r="G923" s="14"/>
      <c r="H923" s="26"/>
      <c r="I923" s="2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26"/>
      <c r="B924" s="3"/>
      <c r="C924" s="3"/>
      <c r="D924" s="10"/>
      <c r="E924" s="3"/>
      <c r="F924" s="3" t="str">
        <f>IFERROR(VLOOKUP(E924, [1]Hotels!$A:$B, 2, FALSE),"")</f>
        <v/>
      </c>
      <c r="G924" s="14"/>
      <c r="H924" s="26"/>
      <c r="I924" s="2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26"/>
      <c r="B925" s="3"/>
      <c r="C925" s="3"/>
      <c r="D925" s="10"/>
      <c r="E925" s="3"/>
      <c r="F925" s="3" t="str">
        <f>IFERROR(VLOOKUP(E925, [1]Hotels!$A:$B, 2, FALSE),"")</f>
        <v/>
      </c>
      <c r="G925" s="14"/>
      <c r="H925" s="26"/>
      <c r="I925" s="2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26"/>
      <c r="B926" s="3"/>
      <c r="C926" s="3"/>
      <c r="D926" s="10"/>
      <c r="E926" s="3"/>
      <c r="F926" s="3" t="str">
        <f>IFERROR(VLOOKUP(E926, [1]Hotels!$A:$B, 2, FALSE),"")</f>
        <v/>
      </c>
      <c r="G926" s="14"/>
      <c r="H926" s="26"/>
      <c r="I926" s="2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26"/>
      <c r="B927" s="3"/>
      <c r="C927" s="3"/>
      <c r="D927" s="10"/>
      <c r="E927" s="3"/>
      <c r="F927" s="3" t="str">
        <f>IFERROR(VLOOKUP(E927, [1]Hotels!$A:$B, 2, FALSE),"")</f>
        <v/>
      </c>
      <c r="G927" s="14"/>
      <c r="H927" s="26"/>
      <c r="I927" s="2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26"/>
      <c r="B928" s="3"/>
      <c r="C928" s="3"/>
      <c r="D928" s="10"/>
      <c r="E928" s="3"/>
      <c r="F928" s="3" t="str">
        <f>IFERROR(VLOOKUP(E928, [1]Hotels!$A:$B, 2, FALSE),"")</f>
        <v/>
      </c>
      <c r="G928" s="14"/>
      <c r="H928" s="26"/>
      <c r="I928" s="2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26"/>
      <c r="B929" s="3"/>
      <c r="C929" s="3"/>
      <c r="D929" s="10"/>
      <c r="E929" s="3"/>
      <c r="F929" s="3" t="str">
        <f>IFERROR(VLOOKUP(E929, [1]Hotels!$A:$B, 2, FALSE),"")</f>
        <v/>
      </c>
      <c r="G929" s="14"/>
      <c r="H929" s="26"/>
      <c r="I929" s="2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26"/>
      <c r="B930" s="3"/>
      <c r="C930" s="3"/>
      <c r="D930" s="10"/>
      <c r="E930" s="3"/>
      <c r="F930" s="3" t="str">
        <f>IFERROR(VLOOKUP(E930, [1]Hotels!$A:$B, 2, FALSE),"")</f>
        <v/>
      </c>
      <c r="G930" s="14"/>
      <c r="H930" s="26"/>
      <c r="I930" s="2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26"/>
      <c r="B931" s="3"/>
      <c r="C931" s="3"/>
      <c r="D931" s="10"/>
      <c r="E931" s="3"/>
      <c r="F931" s="3" t="str">
        <f>IFERROR(VLOOKUP(E931, [1]Hotels!$A:$B, 2, FALSE),"")</f>
        <v/>
      </c>
      <c r="G931" s="14"/>
      <c r="H931" s="26"/>
      <c r="I931" s="2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26"/>
      <c r="B932" s="3"/>
      <c r="C932" s="3"/>
      <c r="D932" s="10"/>
      <c r="E932" s="3"/>
      <c r="F932" s="3" t="str">
        <f>IFERROR(VLOOKUP(E932, [1]Hotels!$A:$B, 2, FALSE),"")</f>
        <v/>
      </c>
      <c r="G932" s="14"/>
      <c r="H932" s="26"/>
      <c r="I932" s="2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26"/>
      <c r="B933" s="3"/>
      <c r="C933" s="3"/>
      <c r="D933" s="10"/>
      <c r="E933" s="3"/>
      <c r="F933" s="3" t="str">
        <f>IFERROR(VLOOKUP(E933, [1]Hotels!$A:$B, 2, FALSE),"")</f>
        <v/>
      </c>
      <c r="G933" s="14"/>
      <c r="H933" s="26"/>
      <c r="I933" s="2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26"/>
      <c r="B934" s="3"/>
      <c r="C934" s="3"/>
      <c r="D934" s="10"/>
      <c r="E934" s="3"/>
      <c r="F934" s="3" t="str">
        <f>IFERROR(VLOOKUP(E934, [1]Hotels!$A:$B, 2, FALSE),"")</f>
        <v/>
      </c>
      <c r="G934" s="14"/>
      <c r="H934" s="26"/>
      <c r="I934" s="2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26"/>
      <c r="B935" s="3"/>
      <c r="C935" s="3"/>
      <c r="D935" s="10"/>
      <c r="E935" s="3"/>
      <c r="F935" s="3" t="str">
        <f>IFERROR(VLOOKUP(E935, [1]Hotels!$A:$B, 2, FALSE),"")</f>
        <v/>
      </c>
      <c r="G935" s="14"/>
      <c r="H935" s="26"/>
      <c r="I935" s="2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26"/>
      <c r="B936" s="3"/>
      <c r="C936" s="3"/>
      <c r="D936" s="10"/>
      <c r="E936" s="3"/>
      <c r="F936" s="3" t="str">
        <f>IFERROR(VLOOKUP(E936, [1]Hotels!$A:$B, 2, FALSE),"")</f>
        <v/>
      </c>
      <c r="G936" s="14"/>
      <c r="H936" s="26"/>
      <c r="I936" s="2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26"/>
      <c r="B937" s="3"/>
      <c r="C937" s="3"/>
      <c r="D937" s="10"/>
      <c r="E937" s="3"/>
      <c r="F937" s="3" t="str">
        <f>IFERROR(VLOOKUP(E937, [1]Hotels!$A:$B, 2, FALSE),"")</f>
        <v/>
      </c>
      <c r="G937" s="14"/>
      <c r="H937" s="26"/>
      <c r="I937" s="2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26"/>
      <c r="B938" s="3"/>
      <c r="C938" s="3"/>
      <c r="D938" s="10"/>
      <c r="E938" s="3"/>
      <c r="F938" s="3" t="str">
        <f>IFERROR(VLOOKUP(E938, [1]Hotels!$A:$B, 2, FALSE),"")</f>
        <v/>
      </c>
      <c r="G938" s="14"/>
      <c r="H938" s="26"/>
      <c r="I938" s="2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26"/>
      <c r="B939" s="3"/>
      <c r="C939" s="3"/>
      <c r="D939" s="10"/>
      <c r="E939" s="3"/>
      <c r="F939" s="3" t="str">
        <f>IFERROR(VLOOKUP(E939, [1]Hotels!$A:$B, 2, FALSE),"")</f>
        <v/>
      </c>
      <c r="G939" s="14"/>
      <c r="H939" s="26"/>
      <c r="I939" s="2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26"/>
      <c r="B940" s="3"/>
      <c r="C940" s="3"/>
      <c r="D940" s="10"/>
      <c r="E940" s="3"/>
      <c r="F940" s="3" t="str">
        <f>IFERROR(VLOOKUP(E940, [1]Hotels!$A:$B, 2, FALSE),"")</f>
        <v/>
      </c>
      <c r="G940" s="14"/>
      <c r="H940" s="26"/>
      <c r="I940" s="2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26"/>
      <c r="B941" s="3"/>
      <c r="C941" s="3"/>
      <c r="D941" s="10"/>
      <c r="E941" s="3"/>
      <c r="F941" s="3" t="str">
        <f>IFERROR(VLOOKUP(E941, [1]Hotels!$A:$B, 2, FALSE),"")</f>
        <v/>
      </c>
      <c r="G941" s="14"/>
      <c r="H941" s="26"/>
      <c r="I941" s="2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26"/>
      <c r="B942" s="3"/>
      <c r="C942" s="3"/>
      <c r="D942" s="10"/>
      <c r="E942" s="3"/>
      <c r="F942" s="3" t="str">
        <f>IFERROR(VLOOKUP(E942, [1]Hotels!$A:$B, 2, FALSE),"")</f>
        <v/>
      </c>
      <c r="G942" s="14"/>
      <c r="H942" s="26"/>
      <c r="I942" s="2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26"/>
      <c r="B943" s="3"/>
      <c r="C943" s="3"/>
      <c r="D943" s="10"/>
      <c r="E943" s="3"/>
      <c r="F943" s="3" t="str">
        <f>IFERROR(VLOOKUP(E943, [1]Hotels!$A:$B, 2, FALSE),"")</f>
        <v/>
      </c>
      <c r="G943" s="14"/>
      <c r="H943" s="26"/>
      <c r="I943" s="2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26"/>
      <c r="B944" s="3"/>
      <c r="C944" s="3"/>
      <c r="D944" s="10"/>
      <c r="E944" s="3"/>
      <c r="F944" s="3" t="str">
        <f>IFERROR(VLOOKUP(E944, [1]Hotels!$A:$B, 2, FALSE),"")</f>
        <v/>
      </c>
      <c r="G944" s="14"/>
      <c r="H944" s="26"/>
      <c r="I944" s="2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26"/>
      <c r="B945" s="3"/>
      <c r="C945" s="3"/>
      <c r="D945" s="10"/>
      <c r="E945" s="3"/>
      <c r="F945" s="3" t="str">
        <f>IFERROR(VLOOKUP(E945, [1]Hotels!$A:$B, 2, FALSE),"")</f>
        <v/>
      </c>
      <c r="G945" s="14"/>
      <c r="H945" s="26"/>
      <c r="I945" s="2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26"/>
      <c r="B946" s="3"/>
      <c r="C946" s="3"/>
      <c r="D946" s="10"/>
      <c r="E946" s="3"/>
      <c r="F946" s="3" t="str">
        <f>IFERROR(VLOOKUP(E946, [1]Hotels!$A:$B, 2, FALSE),"")</f>
        <v/>
      </c>
      <c r="G946" s="14"/>
      <c r="H946" s="26"/>
      <c r="I946" s="2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26"/>
      <c r="B947" s="3"/>
      <c r="C947" s="3"/>
      <c r="D947" s="10"/>
      <c r="E947" s="3"/>
      <c r="F947" s="3" t="str">
        <f>IFERROR(VLOOKUP(E947, [1]Hotels!$A:$B, 2, FALSE),"")</f>
        <v/>
      </c>
      <c r="G947" s="14"/>
      <c r="H947" s="26"/>
      <c r="I947" s="2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26"/>
      <c r="B948" s="3"/>
      <c r="C948" s="3"/>
      <c r="D948" s="10"/>
      <c r="E948" s="3"/>
      <c r="F948" s="3" t="str">
        <f>IFERROR(VLOOKUP(E948, [1]Hotels!$A:$B, 2, FALSE),"")</f>
        <v/>
      </c>
      <c r="G948" s="14"/>
      <c r="H948" s="26"/>
      <c r="I948" s="2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26"/>
      <c r="B949" s="3"/>
      <c r="C949" s="3"/>
      <c r="D949" s="10"/>
      <c r="E949" s="3"/>
      <c r="F949" s="3" t="str">
        <f>IFERROR(VLOOKUP(E949, [1]Hotels!$A:$B, 2, FALSE),"")</f>
        <v/>
      </c>
      <c r="G949" s="14"/>
      <c r="H949" s="26"/>
      <c r="I949" s="2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26"/>
      <c r="B950" s="3"/>
      <c r="C950" s="3"/>
      <c r="D950" s="10"/>
      <c r="E950" s="3"/>
      <c r="F950" s="3" t="str">
        <f>IFERROR(VLOOKUP(E950, [1]Hotels!$A:$B, 2, FALSE),"")</f>
        <v/>
      </c>
      <c r="G950" s="14"/>
      <c r="H950" s="26"/>
      <c r="I950" s="2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26"/>
      <c r="B951" s="3"/>
      <c r="C951" s="3"/>
      <c r="D951" s="10"/>
      <c r="E951" s="3"/>
      <c r="F951" s="3" t="str">
        <f>IFERROR(VLOOKUP(E951, [1]Hotels!$A:$B, 2, FALSE),"")</f>
        <v/>
      </c>
      <c r="G951" s="14"/>
      <c r="H951" s="26"/>
      <c r="I951" s="2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26"/>
      <c r="B952" s="3"/>
      <c r="C952" s="3"/>
      <c r="D952" s="10"/>
      <c r="E952" s="3"/>
      <c r="F952" s="3" t="str">
        <f>IFERROR(VLOOKUP(E952, [1]Hotels!$A:$B, 2, FALSE),"")</f>
        <v/>
      </c>
      <c r="G952" s="14"/>
      <c r="H952" s="26"/>
      <c r="I952" s="2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26"/>
      <c r="B953" s="3"/>
      <c r="C953" s="3"/>
      <c r="D953" s="10"/>
      <c r="E953" s="3"/>
      <c r="F953" s="3" t="str">
        <f>IFERROR(VLOOKUP(E953, [1]Hotels!$A:$B, 2, FALSE),"")</f>
        <v/>
      </c>
      <c r="G953" s="14"/>
      <c r="H953" s="26"/>
      <c r="I953" s="2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26"/>
      <c r="B954" s="3"/>
      <c r="C954" s="3"/>
      <c r="D954" s="10"/>
      <c r="E954" s="3"/>
      <c r="F954" s="3" t="str">
        <f>IFERROR(VLOOKUP(E954, [1]Hotels!$A:$B, 2, FALSE),"")</f>
        <v/>
      </c>
      <c r="G954" s="14"/>
      <c r="H954" s="26"/>
      <c r="I954" s="2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26"/>
      <c r="B955" s="3"/>
      <c r="C955" s="3"/>
      <c r="D955" s="10"/>
      <c r="E955" s="3"/>
      <c r="F955" s="3" t="str">
        <f>IFERROR(VLOOKUP(E955, [1]Hotels!$A:$B, 2, FALSE),"")</f>
        <v/>
      </c>
      <c r="G955" s="14"/>
      <c r="H955" s="26"/>
      <c r="I955" s="2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26"/>
      <c r="B956" s="3"/>
      <c r="C956" s="3"/>
      <c r="D956" s="10"/>
      <c r="E956" s="3"/>
      <c r="F956" s="3" t="str">
        <f>IFERROR(VLOOKUP(E956, [1]Hotels!$A:$B, 2, FALSE),"")</f>
        <v/>
      </c>
      <c r="G956" s="14"/>
      <c r="H956" s="26"/>
      <c r="I956" s="2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26"/>
      <c r="B957" s="3"/>
      <c r="C957" s="3"/>
      <c r="D957" s="10"/>
      <c r="E957" s="3"/>
      <c r="F957" s="3" t="str">
        <f>IFERROR(VLOOKUP(E957, [1]Hotels!$A:$B, 2, FALSE),"")</f>
        <v/>
      </c>
      <c r="G957" s="14"/>
      <c r="H957" s="26"/>
      <c r="I957" s="2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26"/>
      <c r="B958" s="3"/>
      <c r="C958" s="3"/>
      <c r="D958" s="10"/>
      <c r="E958" s="3"/>
      <c r="F958" s="3" t="str">
        <f>IFERROR(VLOOKUP(E958, [1]Hotels!$A:$B, 2, FALSE),"")</f>
        <v/>
      </c>
      <c r="G958" s="14"/>
      <c r="H958" s="26"/>
      <c r="I958" s="2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26"/>
      <c r="B959" s="3"/>
      <c r="C959" s="3"/>
      <c r="D959" s="10"/>
      <c r="E959" s="3"/>
      <c r="F959" s="3" t="str">
        <f>IFERROR(VLOOKUP(E959, [1]Hotels!$A:$B, 2, FALSE),"")</f>
        <v/>
      </c>
      <c r="G959" s="14"/>
      <c r="H959" s="26"/>
      <c r="I959" s="2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26"/>
      <c r="B960" s="3"/>
      <c r="C960" s="3"/>
      <c r="D960" s="10"/>
      <c r="E960" s="3"/>
      <c r="F960" s="3" t="str">
        <f>IFERROR(VLOOKUP(E960, [1]Hotels!$A:$B, 2, FALSE),"")</f>
        <v/>
      </c>
      <c r="G960" s="14"/>
      <c r="H960" s="26"/>
      <c r="I960" s="2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</sheetData>
  <mergeCells count="1">
    <mergeCell ref="A1:U1"/>
  </mergeCells>
  <conditionalFormatting sqref="A3:I190 L3:M190 Q3:AA190 J3:K195 N3:P195 J197:J204 K197:K209 N197:P209 J206:J209">
    <cfRule type="containsText" dxfId="2" priority="1" operator="containsText" text="cancelled">
      <formula>NOT(ISERROR(SEARCH(("cancelled"),(A3))))</formula>
    </cfRule>
    <cfRule type="containsText" dxfId="1" priority="2" operator="containsText" text="completed">
      <formula>NOT(ISERROR(SEARCH(("completed"),(A3))))</formula>
    </cfRule>
    <cfRule type="containsText" dxfId="0" priority="3" operator="containsText" text="confirmed">
      <formula>NOT(ISERROR(SEARCH(("confirmed"),(A3))))</formula>
    </cfRule>
  </conditionalFormatting>
  <dataValidations count="5">
    <dataValidation type="custom" allowBlank="1" showDropDown="1" sqref="J201" xr:uid="{2DE042F0-CCDE-4142-8975-4B2CDD6356DA}">
      <formula1>AND(ISNUMBER(#REF!),(NOT(OR(NOT(ISERROR(DATEVALUE(#REF!))), AND(ISNUMBER(#REF!), LEFT(CELL("format", #REF!))="D")))))</formula1>
    </dataValidation>
    <dataValidation type="custom" allowBlank="1" showDropDown="1" sqref="J3:J200 J202:J236" xr:uid="{10689C24-78ED-4D25-8E79-066B037ABB10}">
      <formula1>AND(ISNUMBER(J3),(NOT(OR(NOT(ISERROR(DATEVALUE(J3))), AND(ISNUMBER(J3), LEFT(CELL("format", J3))="D")))))</formula1>
    </dataValidation>
    <dataValidation type="list" allowBlank="1" showErrorMessage="1" sqref="B3:B236 E3:E236" xr:uid="{674901F5-6DF5-4BA4-8B30-98C75B18BE61}">
      <formula1>#REF!</formula1>
    </dataValidation>
    <dataValidation type="custom" allowBlank="1" showDropDown="1" sqref="A3:A236 H3:I236" xr:uid="{693BFD79-1591-40AD-9273-CF0EFDFD7FAF}">
      <formula1>OR(NOT(ISERROR(DATEVALUE(A3))), AND(ISNUMBER(A3), LEFT(CELL("format", A3))="D"))</formula1>
    </dataValidation>
    <dataValidation type="list" allowBlank="1" showErrorMessage="1" sqref="K3:K960" xr:uid="{255AEB9E-2DDC-44B7-8CDE-EBA18B2A5C0A}">
      <formula1>"confirmed,completed,cancelled"</formula1>
    </dataValidation>
  </dataValidations>
  <hyperlinks>
    <hyperlink ref="B103" r:id="rId1" xr:uid="{CD90EA99-F748-4325-988F-A3356FFCB797}"/>
    <hyperlink ref="B108" r:id="rId2" xr:uid="{790A0C1D-3EAD-46E2-AEED-4180AED11AE1}"/>
    <hyperlink ref="B109" r:id="rId3" xr:uid="{67F2D9F5-C0C5-4E77-B560-A54FCDA4F393}"/>
    <hyperlink ref="B110" r:id="rId4" xr:uid="{0F90EC78-14BE-405C-B23F-B24FFEDA96D1}"/>
    <hyperlink ref="B112" r:id="rId5" xr:uid="{AA03BF6F-6102-4BFF-A810-29280BCBB889}"/>
    <hyperlink ref="B119" r:id="rId6" xr:uid="{533EDB85-65C8-4D06-825B-44E27C1B68B2}"/>
    <hyperlink ref="B120" r:id="rId7" xr:uid="{50C9864E-6F99-462B-B247-42122DC18EF5}"/>
    <hyperlink ref="B121" r:id="rId8" xr:uid="{C7CC61A8-0104-4983-910C-6012D06BED51}"/>
    <hyperlink ref="B123" r:id="rId9" xr:uid="{818511C1-4C2D-4985-9615-47D170214CE9}"/>
    <hyperlink ref="B146" r:id="rId10" xr:uid="{9F7184B0-08B8-4A15-AA4B-A2C427473806}"/>
    <hyperlink ref="B147" r:id="rId11" xr:uid="{2585A3F6-0689-4661-B616-203A99A73D79}"/>
    <hyperlink ref="B151" r:id="rId12" xr:uid="{0EE883FB-2FDA-4839-888C-FB8880EBE2CB}"/>
    <hyperlink ref="B154" r:id="rId13" xr:uid="{77CBB4B5-F471-402F-86A1-994F038C2B85}"/>
    <hyperlink ref="B155" r:id="rId14" xr:uid="{1F9767FD-C22F-482D-A518-5F094232A6C5}"/>
    <hyperlink ref="B156" r:id="rId15" xr:uid="{1AECD7B3-B3A3-4029-8117-EFAEE69FCD88}"/>
    <hyperlink ref="B157" r:id="rId16" xr:uid="{A41BCEE5-46BB-4A6C-92F8-867123DDD1F6}"/>
    <hyperlink ref="B158" r:id="rId17" xr:uid="{41F9B925-DEF8-4C7F-904C-64F22C8E29BF}"/>
    <hyperlink ref="B159" r:id="rId18" xr:uid="{41EE1796-6DED-4F6B-A869-BA0C635E4C8E}"/>
    <hyperlink ref="B160" r:id="rId19" xr:uid="{971B31A0-A585-46CB-A144-B766AD8752D6}"/>
    <hyperlink ref="B161" r:id="rId20" xr:uid="{983DED98-F60A-45E0-A432-00B3C1F79494}"/>
    <hyperlink ref="B162" r:id="rId21" xr:uid="{EDC5D2EB-FCE4-4A11-90C6-5F2CC87CFC5C}"/>
    <hyperlink ref="B163" r:id="rId22" xr:uid="{28CF3BCF-D957-44B8-8AB9-30E4090E857B}"/>
    <hyperlink ref="B164" r:id="rId23" xr:uid="{B832C8A1-ED75-4F34-BF6D-A6C6ED9E6331}"/>
    <hyperlink ref="B165" r:id="rId24" xr:uid="{AE5CCD43-1DB0-4EF9-BBDB-8454CD04889E}"/>
    <hyperlink ref="B166" r:id="rId25" xr:uid="{D4FF617E-818D-4ED3-9E22-9EFD9CD7E24C}"/>
    <hyperlink ref="B167" r:id="rId26" xr:uid="{1C0492AB-0682-4F2F-8790-275CBBD26A51}"/>
    <hyperlink ref="B168" r:id="rId27" xr:uid="{2A057178-289C-4FBA-ADCF-7120938B1594}"/>
    <hyperlink ref="B169" r:id="rId28" xr:uid="{9B28DF25-4591-4BFF-B909-14048FA70CCC}"/>
    <hyperlink ref="B170" r:id="rId29" xr:uid="{8AF8981A-FFFE-43C7-A25C-1B7B8ED1EAEB}"/>
    <hyperlink ref="B171" r:id="rId30" xr:uid="{6C785FD0-37AD-47F0-9259-580C20A4B5B3}"/>
    <hyperlink ref="B172" r:id="rId31" xr:uid="{BCB2103C-7EF1-480A-BCDA-9AF055AF6B41}"/>
    <hyperlink ref="B173" r:id="rId32" xr:uid="{EF351BD8-32D7-4489-936C-FFBE5A1441C8}"/>
    <hyperlink ref="B174" r:id="rId33" xr:uid="{B183B488-A9A1-42F1-8DD0-942F3A7C67B6}"/>
    <hyperlink ref="B175" r:id="rId34" xr:uid="{AA1360A3-2ED4-41B2-837F-9038EB8B43F2}"/>
    <hyperlink ref="B176" r:id="rId35" xr:uid="{5429A59B-D932-4B60-9012-A3088E1E2C4B}"/>
    <hyperlink ref="B177" r:id="rId36" xr:uid="{E50549D2-CB59-404E-ABEB-C1C519E2716A}"/>
    <hyperlink ref="B178" r:id="rId37" xr:uid="{6229FAB4-5C35-4676-B341-AAEB79B39AC3}"/>
    <hyperlink ref="B179" r:id="rId38" xr:uid="{15C38EFF-497D-4BEE-B615-4CECFB0F5532}"/>
    <hyperlink ref="B180" r:id="rId39" xr:uid="{DB06B577-54A3-4261-B845-45955787667B}"/>
    <hyperlink ref="B181" r:id="rId40" xr:uid="{2B3910BB-78D4-4345-BF13-CEAC1EB16F9F}"/>
    <hyperlink ref="B182" r:id="rId41" xr:uid="{265C906D-D712-465C-9E7D-0078E3FD7EB0}"/>
    <hyperlink ref="B183" r:id="rId42" xr:uid="{84ECF892-6515-4D72-953B-1BC7A0BA73DF}"/>
    <hyperlink ref="B184" r:id="rId43" xr:uid="{910A6FB3-3FBB-4C54-B059-F04ED799BBC6}"/>
    <hyperlink ref="B185" r:id="rId44" xr:uid="{4496198F-02F8-468C-AA17-28EF9F84D81A}"/>
    <hyperlink ref="B186" r:id="rId45" xr:uid="{7A1D9F57-557E-4E0B-9CE1-A1FC06EE4B74}"/>
    <hyperlink ref="B187" r:id="rId46" xr:uid="{402FFD07-ECDA-4B0D-A9AE-599A09955AA4}"/>
    <hyperlink ref="B188" r:id="rId47" xr:uid="{358CF5AC-C2EA-410F-AB55-78F98203F84F}"/>
    <hyperlink ref="B189" r:id="rId48" xr:uid="{32B1236A-A5D6-4088-BCEE-368C99B47DF7}"/>
    <hyperlink ref="B191" r:id="rId49" xr:uid="{52706598-2280-48D8-A622-A798D938CFB1}"/>
    <hyperlink ref="B192" r:id="rId50" xr:uid="{801F90CC-37BE-4308-86EE-9BCE779E21DC}"/>
    <hyperlink ref="B193" r:id="rId51" xr:uid="{2784B422-D4F2-447D-A183-4B56E8724AD1}"/>
    <hyperlink ref="B194" r:id="rId52" xr:uid="{04EB479B-AA77-4454-AB04-08F6680FE043}"/>
    <hyperlink ref="B195" r:id="rId53" xr:uid="{DBB407A9-64D8-4620-A8E7-7A6878D37BE4}"/>
    <hyperlink ref="B197" r:id="rId54" xr:uid="{553F3802-791A-4655-BB6D-4AFA9BB506F0}"/>
    <hyperlink ref="B198" r:id="rId55" xr:uid="{4FCB8E0E-CB71-4778-AEBB-EFD233119329}"/>
    <hyperlink ref="B199" r:id="rId56" xr:uid="{B6A0EE03-B071-4DEA-A30B-B2590A145E9E}"/>
    <hyperlink ref="B200" r:id="rId57" xr:uid="{798D306A-C0A4-410E-8658-5645F9513D86}"/>
    <hyperlink ref="B201" r:id="rId58" xr:uid="{EC2CE4F9-2224-4933-9492-DECCF99117AE}"/>
    <hyperlink ref="B202" r:id="rId59" xr:uid="{07992391-303E-45BC-9AFA-657F74B6783D}"/>
    <hyperlink ref="B203" r:id="rId60" xr:uid="{DF88F2EA-B656-41C6-A9BF-7E0375AE08CF}"/>
    <hyperlink ref="B204" r:id="rId61" xr:uid="{E70649BC-3F1E-43A5-8043-3BDDFE5ECE8E}"/>
    <hyperlink ref="B205" r:id="rId62" xr:uid="{9DBBF9D4-BE9D-4D44-9A9A-3363512FBD07}"/>
    <hyperlink ref="B206" r:id="rId63" xr:uid="{0AB3FD84-4331-40A7-B3B5-1FF826102953}"/>
    <hyperlink ref="B207" r:id="rId64" xr:uid="{8AB23807-4A0F-4E94-959B-DC6CE1C5C9E2}"/>
    <hyperlink ref="B208" r:id="rId65" xr:uid="{2D0157AB-B9CD-47C7-AF75-CFA8B5E4C7A0}"/>
    <hyperlink ref="B209" r:id="rId66" xr:uid="{5D507D15-B503-49BD-BED8-0CD514C26FD2}"/>
  </hyperlinks>
  <pageMargins left="0.7" right="0.7" top="0.75" bottom="0.75" header="0" footer="0"/>
  <pageSetup orientation="landscape"/>
  <tableParts count="1"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6C77-98A9-41BF-B3C1-038ACA34322B}">
  <dimension ref="A1:B2650"/>
  <sheetViews>
    <sheetView workbookViewId="0">
      <selection activeCell="J20" sqref="J20"/>
    </sheetView>
  </sheetViews>
  <sheetFormatPr defaultRowHeight="15" x14ac:dyDescent="0.25"/>
  <cols>
    <col min="1" max="2" width="14.42578125" customWidth="1"/>
  </cols>
  <sheetData>
    <row r="1" spans="1:2" x14ac:dyDescent="0.25">
      <c r="A1" s="27" t="s">
        <v>804</v>
      </c>
      <c r="B1" s="28" t="s">
        <v>805</v>
      </c>
    </row>
    <row r="2" spans="1:2" x14ac:dyDescent="0.25">
      <c r="A2" s="28" t="s">
        <v>806</v>
      </c>
      <c r="B2" s="28" t="s">
        <v>807</v>
      </c>
    </row>
    <row r="3" spans="1:2" x14ac:dyDescent="0.25">
      <c r="A3" s="28" t="s">
        <v>808</v>
      </c>
      <c r="B3" s="28" t="s">
        <v>809</v>
      </c>
    </row>
    <row r="4" spans="1:2" x14ac:dyDescent="0.25">
      <c r="A4" s="28" t="s">
        <v>810</v>
      </c>
      <c r="B4" s="28" t="s">
        <v>811</v>
      </c>
    </row>
    <row r="5" spans="1:2" x14ac:dyDescent="0.25">
      <c r="A5" s="28" t="s">
        <v>812</v>
      </c>
      <c r="B5" s="28" t="s">
        <v>813</v>
      </c>
    </row>
    <row r="6" spans="1:2" x14ac:dyDescent="0.25">
      <c r="A6" s="28" t="s">
        <v>814</v>
      </c>
      <c r="B6" s="28" t="s">
        <v>815</v>
      </c>
    </row>
    <row r="7" spans="1:2" x14ac:dyDescent="0.25">
      <c r="A7" s="28" t="s">
        <v>816</v>
      </c>
      <c r="B7" s="28" t="s">
        <v>817</v>
      </c>
    </row>
    <row r="8" spans="1:2" x14ac:dyDescent="0.25">
      <c r="A8" s="28" t="s">
        <v>818</v>
      </c>
      <c r="B8" s="28" t="s">
        <v>819</v>
      </c>
    </row>
    <row r="9" spans="1:2" x14ac:dyDescent="0.25">
      <c r="A9" s="28" t="s">
        <v>820</v>
      </c>
      <c r="B9" s="28" t="s">
        <v>821</v>
      </c>
    </row>
    <row r="10" spans="1:2" x14ac:dyDescent="0.25">
      <c r="A10" s="28" t="s">
        <v>822</v>
      </c>
      <c r="B10" s="28" t="s">
        <v>823</v>
      </c>
    </row>
    <row r="11" spans="1:2" x14ac:dyDescent="0.25">
      <c r="A11" s="28" t="s">
        <v>824</v>
      </c>
      <c r="B11" s="28" t="s">
        <v>825</v>
      </c>
    </row>
    <row r="12" spans="1:2" x14ac:dyDescent="0.25">
      <c r="A12" s="28" t="s">
        <v>826</v>
      </c>
      <c r="B12" s="28" t="s">
        <v>827</v>
      </c>
    </row>
    <row r="13" spans="1:2" x14ac:dyDescent="0.25">
      <c r="A13" s="28" t="s">
        <v>828</v>
      </c>
      <c r="B13" s="28" t="s">
        <v>829</v>
      </c>
    </row>
    <row r="14" spans="1:2" x14ac:dyDescent="0.25">
      <c r="A14" s="28" t="s">
        <v>830</v>
      </c>
      <c r="B14" s="28" t="s">
        <v>831</v>
      </c>
    </row>
    <row r="15" spans="1:2" x14ac:dyDescent="0.25">
      <c r="A15" s="28" t="s">
        <v>832</v>
      </c>
      <c r="B15" s="28" t="s">
        <v>833</v>
      </c>
    </row>
    <row r="16" spans="1:2" x14ac:dyDescent="0.25">
      <c r="A16" s="28" t="s">
        <v>834</v>
      </c>
      <c r="B16" s="28" t="s">
        <v>835</v>
      </c>
    </row>
    <row r="17" spans="1:2" x14ac:dyDescent="0.25">
      <c r="A17" s="28" t="s">
        <v>836</v>
      </c>
      <c r="B17" s="28" t="s">
        <v>837</v>
      </c>
    </row>
    <row r="18" spans="1:2" x14ac:dyDescent="0.25">
      <c r="A18" s="28" t="s">
        <v>838</v>
      </c>
      <c r="B18" s="28" t="s">
        <v>839</v>
      </c>
    </row>
    <row r="19" spans="1:2" x14ac:dyDescent="0.25">
      <c r="A19" s="28" t="s">
        <v>840</v>
      </c>
      <c r="B19" s="28" t="s">
        <v>841</v>
      </c>
    </row>
    <row r="20" spans="1:2" x14ac:dyDescent="0.25">
      <c r="A20" s="28" t="s">
        <v>842</v>
      </c>
      <c r="B20" s="28" t="s">
        <v>843</v>
      </c>
    </row>
    <row r="21" spans="1:2" x14ac:dyDescent="0.25">
      <c r="A21" s="28" t="s">
        <v>844</v>
      </c>
      <c r="B21" s="28" t="s">
        <v>845</v>
      </c>
    </row>
    <row r="22" spans="1:2" x14ac:dyDescent="0.25">
      <c r="A22" s="28" t="s">
        <v>218</v>
      </c>
      <c r="B22" s="28" t="s">
        <v>846</v>
      </c>
    </row>
    <row r="23" spans="1:2" x14ac:dyDescent="0.25">
      <c r="A23" s="28" t="s">
        <v>847</v>
      </c>
      <c r="B23" s="28" t="s">
        <v>848</v>
      </c>
    </row>
    <row r="24" spans="1:2" x14ac:dyDescent="0.25">
      <c r="A24" s="28" t="s">
        <v>849</v>
      </c>
      <c r="B24" s="28" t="s">
        <v>850</v>
      </c>
    </row>
    <row r="25" spans="1:2" x14ac:dyDescent="0.25">
      <c r="A25" s="28" t="s">
        <v>851</v>
      </c>
      <c r="B25" s="28" t="s">
        <v>852</v>
      </c>
    </row>
    <row r="26" spans="1:2" x14ac:dyDescent="0.25">
      <c r="A26" s="28" t="s">
        <v>853</v>
      </c>
      <c r="B26" s="28" t="s">
        <v>854</v>
      </c>
    </row>
    <row r="27" spans="1:2" x14ac:dyDescent="0.25">
      <c r="A27" s="28" t="s">
        <v>855</v>
      </c>
      <c r="B27" s="28" t="s">
        <v>856</v>
      </c>
    </row>
    <row r="28" spans="1:2" x14ac:dyDescent="0.25">
      <c r="A28" s="28" t="s">
        <v>857</v>
      </c>
      <c r="B28" s="28" t="s">
        <v>858</v>
      </c>
    </row>
    <row r="29" spans="1:2" x14ac:dyDescent="0.25">
      <c r="A29" s="28" t="s">
        <v>859</v>
      </c>
      <c r="B29" s="28" t="s">
        <v>860</v>
      </c>
    </row>
    <row r="30" spans="1:2" x14ac:dyDescent="0.25">
      <c r="A30" s="28" t="s">
        <v>861</v>
      </c>
      <c r="B30" s="28" t="s">
        <v>862</v>
      </c>
    </row>
    <row r="31" spans="1:2" x14ac:dyDescent="0.25">
      <c r="A31" s="28" t="s">
        <v>863</v>
      </c>
      <c r="B31" s="28" t="s">
        <v>864</v>
      </c>
    </row>
    <row r="32" spans="1:2" x14ac:dyDescent="0.25">
      <c r="A32" s="28" t="s">
        <v>865</v>
      </c>
      <c r="B32" s="28" t="s">
        <v>866</v>
      </c>
    </row>
    <row r="33" spans="1:2" x14ac:dyDescent="0.25">
      <c r="A33" s="28" t="s">
        <v>867</v>
      </c>
      <c r="B33" s="28" t="s">
        <v>868</v>
      </c>
    </row>
    <row r="34" spans="1:2" x14ac:dyDescent="0.25">
      <c r="A34" s="28" t="s">
        <v>869</v>
      </c>
      <c r="B34" s="28" t="s">
        <v>870</v>
      </c>
    </row>
    <row r="35" spans="1:2" x14ac:dyDescent="0.25">
      <c r="A35" s="28" t="s">
        <v>871</v>
      </c>
      <c r="B35" s="28" t="s">
        <v>872</v>
      </c>
    </row>
    <row r="36" spans="1:2" x14ac:dyDescent="0.25">
      <c r="A36" s="28" t="s">
        <v>873</v>
      </c>
      <c r="B36" s="28" t="s">
        <v>874</v>
      </c>
    </row>
    <row r="37" spans="1:2" x14ac:dyDescent="0.25">
      <c r="A37" s="28" t="s">
        <v>875</v>
      </c>
      <c r="B37" s="28" t="s">
        <v>876</v>
      </c>
    </row>
    <row r="38" spans="1:2" x14ac:dyDescent="0.25">
      <c r="A38" s="28" t="s">
        <v>877</v>
      </c>
      <c r="B38" s="28" t="s">
        <v>878</v>
      </c>
    </row>
    <row r="39" spans="1:2" x14ac:dyDescent="0.25">
      <c r="A39" s="28" t="s">
        <v>879</v>
      </c>
      <c r="B39" s="28" t="s">
        <v>880</v>
      </c>
    </row>
    <row r="40" spans="1:2" x14ac:dyDescent="0.25">
      <c r="A40" s="28" t="s">
        <v>881</v>
      </c>
      <c r="B40" s="28" t="s">
        <v>882</v>
      </c>
    </row>
    <row r="41" spans="1:2" x14ac:dyDescent="0.25">
      <c r="A41" s="28" t="s">
        <v>883</v>
      </c>
      <c r="B41" s="28" t="s">
        <v>884</v>
      </c>
    </row>
    <row r="42" spans="1:2" x14ac:dyDescent="0.25">
      <c r="A42" s="28" t="s">
        <v>885</v>
      </c>
      <c r="B42" s="28" t="s">
        <v>886</v>
      </c>
    </row>
    <row r="43" spans="1:2" x14ac:dyDescent="0.25">
      <c r="A43" s="28" t="s">
        <v>887</v>
      </c>
      <c r="B43" s="28" t="s">
        <v>888</v>
      </c>
    </row>
    <row r="44" spans="1:2" x14ac:dyDescent="0.25">
      <c r="A44" s="28" t="s">
        <v>889</v>
      </c>
      <c r="B44" s="28" t="s">
        <v>890</v>
      </c>
    </row>
    <row r="45" spans="1:2" x14ac:dyDescent="0.25">
      <c r="A45" s="28" t="s">
        <v>891</v>
      </c>
      <c r="B45" s="28" t="s">
        <v>892</v>
      </c>
    </row>
    <row r="46" spans="1:2" x14ac:dyDescent="0.25">
      <c r="A46" s="28" t="s">
        <v>893</v>
      </c>
      <c r="B46" s="28" t="s">
        <v>894</v>
      </c>
    </row>
    <row r="47" spans="1:2" x14ac:dyDescent="0.25">
      <c r="A47" s="28" t="s">
        <v>895</v>
      </c>
      <c r="B47" s="28" t="s">
        <v>896</v>
      </c>
    </row>
    <row r="48" spans="1:2" x14ac:dyDescent="0.25">
      <c r="A48" s="28" t="s">
        <v>897</v>
      </c>
      <c r="B48" s="28" t="s">
        <v>898</v>
      </c>
    </row>
    <row r="49" spans="1:2" x14ac:dyDescent="0.25">
      <c r="A49" s="28" t="s">
        <v>899</v>
      </c>
      <c r="B49" s="28" t="s">
        <v>900</v>
      </c>
    </row>
    <row r="50" spans="1:2" x14ac:dyDescent="0.25">
      <c r="A50" s="28" t="s">
        <v>901</v>
      </c>
      <c r="B50" s="28" t="s">
        <v>902</v>
      </c>
    </row>
    <row r="51" spans="1:2" x14ac:dyDescent="0.25">
      <c r="A51" s="28" t="s">
        <v>903</v>
      </c>
      <c r="B51" s="28" t="s">
        <v>904</v>
      </c>
    </row>
    <row r="52" spans="1:2" x14ac:dyDescent="0.25">
      <c r="A52" s="28" t="s">
        <v>905</v>
      </c>
      <c r="B52" s="28" t="s">
        <v>906</v>
      </c>
    </row>
    <row r="53" spans="1:2" x14ac:dyDescent="0.25">
      <c r="A53" s="28" t="s">
        <v>907</v>
      </c>
      <c r="B53" s="28" t="s">
        <v>908</v>
      </c>
    </row>
    <row r="54" spans="1:2" x14ac:dyDescent="0.25">
      <c r="A54" s="28" t="s">
        <v>909</v>
      </c>
      <c r="B54" s="28" t="s">
        <v>910</v>
      </c>
    </row>
    <row r="55" spans="1:2" x14ac:dyDescent="0.25">
      <c r="A55" s="28" t="s">
        <v>911</v>
      </c>
      <c r="B55" s="28" t="s">
        <v>912</v>
      </c>
    </row>
    <row r="56" spans="1:2" x14ac:dyDescent="0.25">
      <c r="A56" s="28" t="s">
        <v>913</v>
      </c>
      <c r="B56" s="28" t="s">
        <v>914</v>
      </c>
    </row>
    <row r="57" spans="1:2" x14ac:dyDescent="0.25">
      <c r="A57" s="28" t="s">
        <v>915</v>
      </c>
      <c r="B57" s="28" t="s">
        <v>916</v>
      </c>
    </row>
    <row r="58" spans="1:2" x14ac:dyDescent="0.25">
      <c r="A58" s="28" t="s">
        <v>917</v>
      </c>
      <c r="B58" s="28" t="s">
        <v>918</v>
      </c>
    </row>
    <row r="59" spans="1:2" x14ac:dyDescent="0.25">
      <c r="A59" s="28" t="s">
        <v>919</v>
      </c>
      <c r="B59" s="28" t="s">
        <v>920</v>
      </c>
    </row>
    <row r="60" spans="1:2" x14ac:dyDescent="0.25">
      <c r="A60" s="28" t="s">
        <v>921</v>
      </c>
      <c r="B60" s="28" t="s">
        <v>922</v>
      </c>
    </row>
    <row r="61" spans="1:2" x14ac:dyDescent="0.25">
      <c r="A61" s="28" t="s">
        <v>923</v>
      </c>
      <c r="B61" s="28" t="s">
        <v>924</v>
      </c>
    </row>
    <row r="62" spans="1:2" x14ac:dyDescent="0.25">
      <c r="A62" s="28" t="s">
        <v>925</v>
      </c>
      <c r="B62" s="28" t="s">
        <v>926</v>
      </c>
    </row>
    <row r="63" spans="1:2" x14ac:dyDescent="0.25">
      <c r="A63" s="28" t="s">
        <v>927</v>
      </c>
      <c r="B63" s="28" t="s">
        <v>928</v>
      </c>
    </row>
    <row r="64" spans="1:2" x14ac:dyDescent="0.25">
      <c r="A64" s="28" t="s">
        <v>929</v>
      </c>
      <c r="B64" s="28" t="s">
        <v>930</v>
      </c>
    </row>
    <row r="65" spans="1:2" x14ac:dyDescent="0.25">
      <c r="A65" s="28" t="s">
        <v>931</v>
      </c>
      <c r="B65" s="28" t="s">
        <v>932</v>
      </c>
    </row>
    <row r="66" spans="1:2" x14ac:dyDescent="0.25">
      <c r="A66" s="28" t="s">
        <v>933</v>
      </c>
      <c r="B66" s="28" t="s">
        <v>934</v>
      </c>
    </row>
    <row r="67" spans="1:2" x14ac:dyDescent="0.25">
      <c r="A67" s="28" t="s">
        <v>935</v>
      </c>
      <c r="B67" s="28" t="s">
        <v>936</v>
      </c>
    </row>
    <row r="68" spans="1:2" x14ac:dyDescent="0.25">
      <c r="A68" s="28" t="s">
        <v>937</v>
      </c>
      <c r="B68" s="28" t="s">
        <v>938</v>
      </c>
    </row>
    <row r="69" spans="1:2" x14ac:dyDescent="0.25">
      <c r="A69" s="28" t="s">
        <v>939</v>
      </c>
      <c r="B69" s="28" t="s">
        <v>940</v>
      </c>
    </row>
    <row r="70" spans="1:2" x14ac:dyDescent="0.25">
      <c r="A70" s="28" t="s">
        <v>941</v>
      </c>
      <c r="B70" s="28" t="s">
        <v>942</v>
      </c>
    </row>
    <row r="71" spans="1:2" x14ac:dyDescent="0.25">
      <c r="A71" s="28" t="s">
        <v>943</v>
      </c>
      <c r="B71" s="28" t="s">
        <v>944</v>
      </c>
    </row>
    <row r="72" spans="1:2" x14ac:dyDescent="0.25">
      <c r="A72" s="28" t="s">
        <v>945</v>
      </c>
      <c r="B72" s="28" t="s">
        <v>946</v>
      </c>
    </row>
    <row r="73" spans="1:2" x14ac:dyDescent="0.25">
      <c r="A73" s="28" t="s">
        <v>947</v>
      </c>
      <c r="B73" s="28" t="s">
        <v>948</v>
      </c>
    </row>
    <row r="74" spans="1:2" x14ac:dyDescent="0.25">
      <c r="A74" s="28" t="s">
        <v>949</v>
      </c>
      <c r="B74" s="28" t="s">
        <v>950</v>
      </c>
    </row>
    <row r="75" spans="1:2" x14ac:dyDescent="0.25">
      <c r="A75" s="28" t="s">
        <v>951</v>
      </c>
      <c r="B75" s="28" t="s">
        <v>952</v>
      </c>
    </row>
    <row r="76" spans="1:2" x14ac:dyDescent="0.25">
      <c r="A76" s="28" t="s">
        <v>953</v>
      </c>
      <c r="B76" s="28" t="s">
        <v>954</v>
      </c>
    </row>
    <row r="77" spans="1:2" x14ac:dyDescent="0.25">
      <c r="A77" s="28" t="s">
        <v>955</v>
      </c>
      <c r="B77" s="28" t="s">
        <v>956</v>
      </c>
    </row>
    <row r="78" spans="1:2" x14ac:dyDescent="0.25">
      <c r="A78" s="28" t="s">
        <v>957</v>
      </c>
      <c r="B78" s="28" t="s">
        <v>958</v>
      </c>
    </row>
    <row r="79" spans="1:2" x14ac:dyDescent="0.25">
      <c r="A79" s="28" t="s">
        <v>959</v>
      </c>
      <c r="B79" s="28" t="s">
        <v>960</v>
      </c>
    </row>
    <row r="80" spans="1:2" x14ac:dyDescent="0.25">
      <c r="A80" s="28" t="s">
        <v>961</v>
      </c>
      <c r="B80" s="28" t="s">
        <v>962</v>
      </c>
    </row>
    <row r="81" spans="1:2" x14ac:dyDescent="0.25">
      <c r="A81" s="28" t="s">
        <v>963</v>
      </c>
      <c r="B81" s="28" t="s">
        <v>964</v>
      </c>
    </row>
    <row r="82" spans="1:2" x14ac:dyDescent="0.25">
      <c r="A82" s="28" t="s">
        <v>965</v>
      </c>
      <c r="B82" s="28" t="s">
        <v>966</v>
      </c>
    </row>
    <row r="83" spans="1:2" x14ac:dyDescent="0.25">
      <c r="A83" s="28" t="s">
        <v>967</v>
      </c>
      <c r="B83" s="28" t="s">
        <v>968</v>
      </c>
    </row>
    <row r="84" spans="1:2" x14ac:dyDescent="0.25">
      <c r="A84" s="28" t="s">
        <v>969</v>
      </c>
      <c r="B84" s="28" t="s">
        <v>970</v>
      </c>
    </row>
    <row r="85" spans="1:2" x14ac:dyDescent="0.25">
      <c r="A85" s="28" t="s">
        <v>971</v>
      </c>
      <c r="B85" s="28" t="s">
        <v>972</v>
      </c>
    </row>
    <row r="86" spans="1:2" x14ac:dyDescent="0.25">
      <c r="A86" s="28" t="s">
        <v>973</v>
      </c>
      <c r="B86" s="28" t="s">
        <v>974</v>
      </c>
    </row>
    <row r="87" spans="1:2" x14ac:dyDescent="0.25">
      <c r="A87" s="28" t="s">
        <v>975</v>
      </c>
      <c r="B87" s="28" t="s">
        <v>976</v>
      </c>
    </row>
    <row r="88" spans="1:2" x14ac:dyDescent="0.25">
      <c r="A88" s="28" t="s">
        <v>977</v>
      </c>
      <c r="B88" s="28" t="s">
        <v>978</v>
      </c>
    </row>
    <row r="89" spans="1:2" x14ac:dyDescent="0.25">
      <c r="A89" s="28" t="s">
        <v>979</v>
      </c>
      <c r="B89" s="28" t="s">
        <v>980</v>
      </c>
    </row>
    <row r="90" spans="1:2" x14ac:dyDescent="0.25">
      <c r="A90" s="28" t="s">
        <v>981</v>
      </c>
      <c r="B90" s="28" t="s">
        <v>982</v>
      </c>
    </row>
    <row r="91" spans="1:2" x14ac:dyDescent="0.25">
      <c r="A91" s="28" t="s">
        <v>983</v>
      </c>
      <c r="B91" s="28" t="s">
        <v>984</v>
      </c>
    </row>
    <row r="92" spans="1:2" x14ac:dyDescent="0.25">
      <c r="A92" s="28" t="s">
        <v>985</v>
      </c>
      <c r="B92" s="28" t="s">
        <v>986</v>
      </c>
    </row>
    <row r="93" spans="1:2" x14ac:dyDescent="0.25">
      <c r="A93" s="28" t="s">
        <v>987</v>
      </c>
      <c r="B93" s="28" t="s">
        <v>988</v>
      </c>
    </row>
    <row r="94" spans="1:2" x14ac:dyDescent="0.25">
      <c r="A94" s="28" t="s">
        <v>989</v>
      </c>
      <c r="B94" s="28" t="s">
        <v>990</v>
      </c>
    </row>
    <row r="95" spans="1:2" x14ac:dyDescent="0.25">
      <c r="A95" s="28" t="s">
        <v>991</v>
      </c>
      <c r="B95" s="28" t="s">
        <v>992</v>
      </c>
    </row>
    <row r="96" spans="1:2" x14ac:dyDescent="0.25">
      <c r="A96" s="28" t="s">
        <v>993</v>
      </c>
      <c r="B96" s="28" t="s">
        <v>994</v>
      </c>
    </row>
    <row r="97" spans="1:2" x14ac:dyDescent="0.25">
      <c r="A97" s="28" t="s">
        <v>995</v>
      </c>
      <c r="B97" s="28" t="s">
        <v>996</v>
      </c>
    </row>
    <row r="98" spans="1:2" x14ac:dyDescent="0.25">
      <c r="A98" s="28" t="s">
        <v>997</v>
      </c>
      <c r="B98" s="28" t="s">
        <v>998</v>
      </c>
    </row>
    <row r="99" spans="1:2" x14ac:dyDescent="0.25">
      <c r="A99" s="28" t="s">
        <v>999</v>
      </c>
      <c r="B99" s="28" t="s">
        <v>1000</v>
      </c>
    </row>
    <row r="100" spans="1:2" x14ac:dyDescent="0.25">
      <c r="A100" s="28" t="s">
        <v>1001</v>
      </c>
      <c r="B100" s="28" t="s">
        <v>1002</v>
      </c>
    </row>
    <row r="101" spans="1:2" x14ac:dyDescent="0.25">
      <c r="A101" s="28" t="s">
        <v>1003</v>
      </c>
      <c r="B101" s="28" t="s">
        <v>1004</v>
      </c>
    </row>
    <row r="102" spans="1:2" x14ac:dyDescent="0.25">
      <c r="A102" s="28" t="s">
        <v>1005</v>
      </c>
      <c r="B102" s="28" t="s">
        <v>1006</v>
      </c>
    </row>
    <row r="103" spans="1:2" x14ac:dyDescent="0.25">
      <c r="A103" s="28" t="s">
        <v>1007</v>
      </c>
      <c r="B103" s="28" t="s">
        <v>1008</v>
      </c>
    </row>
    <row r="104" spans="1:2" x14ac:dyDescent="0.25">
      <c r="A104" s="28" t="s">
        <v>1009</v>
      </c>
      <c r="B104" s="28" t="s">
        <v>1010</v>
      </c>
    </row>
    <row r="105" spans="1:2" x14ac:dyDescent="0.25">
      <c r="A105" s="28" t="s">
        <v>1011</v>
      </c>
      <c r="B105" s="28" t="s">
        <v>1012</v>
      </c>
    </row>
    <row r="106" spans="1:2" x14ac:dyDescent="0.25">
      <c r="A106" s="28" t="s">
        <v>1013</v>
      </c>
      <c r="B106" s="28" t="s">
        <v>1014</v>
      </c>
    </row>
    <row r="107" spans="1:2" x14ac:dyDescent="0.25">
      <c r="A107" s="28" t="s">
        <v>1015</v>
      </c>
      <c r="B107" s="28" t="s">
        <v>1016</v>
      </c>
    </row>
    <row r="108" spans="1:2" x14ac:dyDescent="0.25">
      <c r="A108" s="28" t="s">
        <v>1017</v>
      </c>
      <c r="B108" s="28" t="s">
        <v>1018</v>
      </c>
    </row>
    <row r="109" spans="1:2" x14ac:dyDescent="0.25">
      <c r="A109" s="28" t="s">
        <v>492</v>
      </c>
      <c r="B109" s="28" t="s">
        <v>1019</v>
      </c>
    </row>
    <row r="110" spans="1:2" x14ac:dyDescent="0.25">
      <c r="A110" s="28" t="s">
        <v>1020</v>
      </c>
      <c r="B110" s="28" t="s">
        <v>1021</v>
      </c>
    </row>
    <row r="111" spans="1:2" x14ac:dyDescent="0.25">
      <c r="A111" s="28" t="s">
        <v>1022</v>
      </c>
      <c r="B111" s="28" t="s">
        <v>1023</v>
      </c>
    </row>
    <row r="112" spans="1:2" x14ac:dyDescent="0.25">
      <c r="A112" s="28" t="s">
        <v>1024</v>
      </c>
      <c r="B112" s="28" t="s">
        <v>1025</v>
      </c>
    </row>
    <row r="113" spans="1:2" x14ac:dyDescent="0.25">
      <c r="A113" s="28" t="s">
        <v>1026</v>
      </c>
      <c r="B113" s="28" t="s">
        <v>1027</v>
      </c>
    </row>
    <row r="114" spans="1:2" x14ac:dyDescent="0.25">
      <c r="A114" s="28" t="s">
        <v>1028</v>
      </c>
      <c r="B114" s="28" t="s">
        <v>1029</v>
      </c>
    </row>
    <row r="115" spans="1:2" x14ac:dyDescent="0.25">
      <c r="A115" s="28" t="s">
        <v>1030</v>
      </c>
      <c r="B115" s="28" t="s">
        <v>1031</v>
      </c>
    </row>
    <row r="116" spans="1:2" x14ac:dyDescent="0.25">
      <c r="A116" s="28" t="s">
        <v>1032</v>
      </c>
      <c r="B116" s="28" t="s">
        <v>1033</v>
      </c>
    </row>
    <row r="117" spans="1:2" x14ac:dyDescent="0.25">
      <c r="A117" s="28" t="s">
        <v>1034</v>
      </c>
      <c r="B117" s="28" t="s">
        <v>1035</v>
      </c>
    </row>
    <row r="118" spans="1:2" x14ac:dyDescent="0.25">
      <c r="A118" s="28" t="s">
        <v>1036</v>
      </c>
      <c r="B118" s="28" t="s">
        <v>1037</v>
      </c>
    </row>
    <row r="119" spans="1:2" x14ac:dyDescent="0.25">
      <c r="A119" s="28" t="s">
        <v>1038</v>
      </c>
      <c r="B119" s="28" t="s">
        <v>1039</v>
      </c>
    </row>
    <row r="120" spans="1:2" x14ac:dyDescent="0.25">
      <c r="A120" s="28" t="s">
        <v>1040</v>
      </c>
      <c r="B120" s="28" t="s">
        <v>1041</v>
      </c>
    </row>
    <row r="121" spans="1:2" x14ac:dyDescent="0.25">
      <c r="A121" s="28" t="s">
        <v>1042</v>
      </c>
      <c r="B121" s="28" t="s">
        <v>1043</v>
      </c>
    </row>
    <row r="122" spans="1:2" x14ac:dyDescent="0.25">
      <c r="A122" s="28" t="s">
        <v>1044</v>
      </c>
      <c r="B122" s="28" t="s">
        <v>1045</v>
      </c>
    </row>
    <row r="123" spans="1:2" x14ac:dyDescent="0.25">
      <c r="A123" s="28" t="s">
        <v>1046</v>
      </c>
      <c r="B123" s="28" t="s">
        <v>1047</v>
      </c>
    </row>
    <row r="124" spans="1:2" x14ac:dyDescent="0.25">
      <c r="A124" s="28" t="s">
        <v>1048</v>
      </c>
      <c r="B124" s="28" t="s">
        <v>1049</v>
      </c>
    </row>
    <row r="125" spans="1:2" x14ac:dyDescent="0.25">
      <c r="A125" s="28" t="s">
        <v>1050</v>
      </c>
      <c r="B125" s="28" t="s">
        <v>1051</v>
      </c>
    </row>
    <row r="126" spans="1:2" x14ac:dyDescent="0.25">
      <c r="A126" s="28" t="s">
        <v>1052</v>
      </c>
      <c r="B126" s="28" t="s">
        <v>1053</v>
      </c>
    </row>
    <row r="127" spans="1:2" x14ac:dyDescent="0.25">
      <c r="A127" s="28" t="s">
        <v>1054</v>
      </c>
      <c r="B127" s="28" t="s">
        <v>1055</v>
      </c>
    </row>
    <row r="128" spans="1:2" x14ac:dyDescent="0.25">
      <c r="A128" s="28" t="s">
        <v>1056</v>
      </c>
      <c r="B128" s="28" t="s">
        <v>1057</v>
      </c>
    </row>
    <row r="129" spans="1:2" x14ac:dyDescent="0.25">
      <c r="A129" s="28" t="s">
        <v>1058</v>
      </c>
      <c r="B129" s="28" t="s">
        <v>1059</v>
      </c>
    </row>
    <row r="130" spans="1:2" x14ac:dyDescent="0.25">
      <c r="A130" s="28" t="s">
        <v>1060</v>
      </c>
      <c r="B130" s="28" t="s">
        <v>1061</v>
      </c>
    </row>
    <row r="131" spans="1:2" x14ac:dyDescent="0.25">
      <c r="A131" s="28" t="s">
        <v>1062</v>
      </c>
      <c r="B131" s="28" t="s">
        <v>1063</v>
      </c>
    </row>
    <row r="132" spans="1:2" x14ac:dyDescent="0.25">
      <c r="A132" s="28" t="s">
        <v>1064</v>
      </c>
      <c r="B132" s="28" t="s">
        <v>1065</v>
      </c>
    </row>
    <row r="133" spans="1:2" x14ac:dyDescent="0.25">
      <c r="A133" s="28" t="s">
        <v>1066</v>
      </c>
      <c r="B133" s="28" t="s">
        <v>1067</v>
      </c>
    </row>
    <row r="134" spans="1:2" x14ac:dyDescent="0.25">
      <c r="A134" s="28" t="s">
        <v>1068</v>
      </c>
      <c r="B134" s="28" t="s">
        <v>1069</v>
      </c>
    </row>
    <row r="135" spans="1:2" x14ac:dyDescent="0.25">
      <c r="A135" s="28" t="s">
        <v>1070</v>
      </c>
      <c r="B135" s="28" t="s">
        <v>1071</v>
      </c>
    </row>
    <row r="136" spans="1:2" x14ac:dyDescent="0.25">
      <c r="A136" s="28" t="s">
        <v>1072</v>
      </c>
      <c r="B136" s="28" t="s">
        <v>1073</v>
      </c>
    </row>
    <row r="137" spans="1:2" x14ac:dyDescent="0.25">
      <c r="A137" s="28" t="s">
        <v>1074</v>
      </c>
      <c r="B137" s="28" t="s">
        <v>1075</v>
      </c>
    </row>
    <row r="138" spans="1:2" x14ac:dyDescent="0.25">
      <c r="A138" s="28" t="s">
        <v>479</v>
      </c>
      <c r="B138" s="28" t="s">
        <v>1076</v>
      </c>
    </row>
    <row r="139" spans="1:2" x14ac:dyDescent="0.25">
      <c r="A139" s="28" t="s">
        <v>1077</v>
      </c>
      <c r="B139" s="28" t="s">
        <v>1078</v>
      </c>
    </row>
    <row r="140" spans="1:2" x14ac:dyDescent="0.25">
      <c r="A140" s="28" t="s">
        <v>1079</v>
      </c>
      <c r="B140" s="28" t="s">
        <v>1080</v>
      </c>
    </row>
    <row r="141" spans="1:2" x14ac:dyDescent="0.25">
      <c r="A141" s="28" t="s">
        <v>1081</v>
      </c>
      <c r="B141" s="28" t="s">
        <v>1082</v>
      </c>
    </row>
    <row r="142" spans="1:2" x14ac:dyDescent="0.25">
      <c r="A142" s="28" t="s">
        <v>1083</v>
      </c>
      <c r="B142" s="28" t="s">
        <v>1084</v>
      </c>
    </row>
    <row r="143" spans="1:2" x14ac:dyDescent="0.25">
      <c r="A143" s="28" t="s">
        <v>1085</v>
      </c>
      <c r="B143" s="28" t="s">
        <v>1086</v>
      </c>
    </row>
    <row r="144" spans="1:2" x14ac:dyDescent="0.25">
      <c r="A144" s="28" t="s">
        <v>1087</v>
      </c>
      <c r="B144" s="28" t="s">
        <v>1088</v>
      </c>
    </row>
    <row r="145" spans="1:2" x14ac:dyDescent="0.25">
      <c r="A145" s="28" t="s">
        <v>1089</v>
      </c>
      <c r="B145" s="28" t="s">
        <v>1090</v>
      </c>
    </row>
    <row r="146" spans="1:2" x14ac:dyDescent="0.25">
      <c r="A146" s="28" t="s">
        <v>1091</v>
      </c>
      <c r="B146" s="28" t="s">
        <v>1092</v>
      </c>
    </row>
    <row r="147" spans="1:2" x14ac:dyDescent="0.25">
      <c r="A147" s="28" t="s">
        <v>603</v>
      </c>
      <c r="B147" s="28" t="s">
        <v>1093</v>
      </c>
    </row>
    <row r="148" spans="1:2" x14ac:dyDescent="0.25">
      <c r="A148" s="28" t="s">
        <v>1094</v>
      </c>
      <c r="B148" s="28" t="s">
        <v>1095</v>
      </c>
    </row>
    <row r="149" spans="1:2" x14ac:dyDescent="0.25">
      <c r="A149" s="28" t="s">
        <v>1096</v>
      </c>
      <c r="B149" s="28" t="s">
        <v>1097</v>
      </c>
    </row>
    <row r="150" spans="1:2" x14ac:dyDescent="0.25">
      <c r="A150" s="28" t="s">
        <v>1098</v>
      </c>
      <c r="B150" s="28" t="s">
        <v>1099</v>
      </c>
    </row>
    <row r="151" spans="1:2" x14ac:dyDescent="0.25">
      <c r="A151" s="28" t="s">
        <v>1100</v>
      </c>
      <c r="B151" s="28" t="s">
        <v>1101</v>
      </c>
    </row>
    <row r="152" spans="1:2" x14ac:dyDescent="0.25">
      <c r="A152" s="28" t="s">
        <v>1102</v>
      </c>
      <c r="B152" s="28" t="s">
        <v>1103</v>
      </c>
    </row>
    <row r="153" spans="1:2" x14ac:dyDescent="0.25">
      <c r="A153" s="28" t="s">
        <v>1104</v>
      </c>
      <c r="B153" s="28" t="s">
        <v>1105</v>
      </c>
    </row>
    <row r="154" spans="1:2" x14ac:dyDescent="0.25">
      <c r="A154" s="28" t="s">
        <v>1106</v>
      </c>
      <c r="B154" s="28" t="s">
        <v>1107</v>
      </c>
    </row>
    <row r="155" spans="1:2" x14ac:dyDescent="0.25">
      <c r="A155" s="28" t="s">
        <v>1108</v>
      </c>
      <c r="B155" s="28" t="s">
        <v>1109</v>
      </c>
    </row>
    <row r="156" spans="1:2" x14ac:dyDescent="0.25">
      <c r="A156" s="28" t="s">
        <v>1110</v>
      </c>
      <c r="B156" s="28" t="s">
        <v>1111</v>
      </c>
    </row>
    <row r="157" spans="1:2" x14ac:dyDescent="0.25">
      <c r="A157" s="28" t="s">
        <v>1112</v>
      </c>
      <c r="B157" s="28" t="s">
        <v>1113</v>
      </c>
    </row>
    <row r="158" spans="1:2" x14ac:dyDescent="0.25">
      <c r="A158" s="28" t="s">
        <v>1114</v>
      </c>
      <c r="B158" s="28" t="s">
        <v>1115</v>
      </c>
    </row>
    <row r="159" spans="1:2" x14ac:dyDescent="0.25">
      <c r="A159" s="28" t="s">
        <v>1116</v>
      </c>
      <c r="B159" s="28" t="s">
        <v>1117</v>
      </c>
    </row>
    <row r="160" spans="1:2" x14ac:dyDescent="0.25">
      <c r="A160" s="28" t="s">
        <v>1118</v>
      </c>
      <c r="B160" s="28" t="s">
        <v>1119</v>
      </c>
    </row>
    <row r="161" spans="1:2" x14ac:dyDescent="0.25">
      <c r="A161" s="28" t="s">
        <v>1120</v>
      </c>
      <c r="B161" s="28" t="s">
        <v>1121</v>
      </c>
    </row>
    <row r="162" spans="1:2" x14ac:dyDescent="0.25">
      <c r="A162" s="28" t="s">
        <v>1122</v>
      </c>
      <c r="B162" s="28" t="s">
        <v>1123</v>
      </c>
    </row>
    <row r="163" spans="1:2" x14ac:dyDescent="0.25">
      <c r="A163" s="28" t="s">
        <v>1124</v>
      </c>
      <c r="B163" s="28" t="s">
        <v>1125</v>
      </c>
    </row>
    <row r="164" spans="1:2" x14ac:dyDescent="0.25">
      <c r="A164" s="28" t="s">
        <v>1126</v>
      </c>
      <c r="B164" s="28" t="s">
        <v>1127</v>
      </c>
    </row>
    <row r="165" spans="1:2" x14ac:dyDescent="0.25">
      <c r="A165" s="28" t="s">
        <v>1128</v>
      </c>
      <c r="B165" s="28" t="s">
        <v>1129</v>
      </c>
    </row>
    <row r="166" spans="1:2" x14ac:dyDescent="0.25">
      <c r="A166" s="28" t="s">
        <v>1130</v>
      </c>
      <c r="B166" s="28" t="s">
        <v>1131</v>
      </c>
    </row>
    <row r="167" spans="1:2" x14ac:dyDescent="0.25">
      <c r="A167" s="28" t="s">
        <v>1132</v>
      </c>
      <c r="B167" s="28" t="s">
        <v>1133</v>
      </c>
    </row>
    <row r="168" spans="1:2" x14ac:dyDescent="0.25">
      <c r="A168" s="28" t="s">
        <v>1134</v>
      </c>
      <c r="B168" s="28" t="s">
        <v>1135</v>
      </c>
    </row>
    <row r="169" spans="1:2" x14ac:dyDescent="0.25">
      <c r="A169" s="28" t="s">
        <v>1136</v>
      </c>
      <c r="B169" s="28" t="s">
        <v>1137</v>
      </c>
    </row>
    <row r="170" spans="1:2" x14ac:dyDescent="0.25">
      <c r="A170" s="28" t="s">
        <v>1138</v>
      </c>
      <c r="B170" s="28" t="s">
        <v>1139</v>
      </c>
    </row>
    <row r="171" spans="1:2" x14ac:dyDescent="0.25">
      <c r="A171" s="28" t="s">
        <v>1140</v>
      </c>
      <c r="B171" s="28" t="s">
        <v>1141</v>
      </c>
    </row>
    <row r="172" spans="1:2" x14ac:dyDescent="0.25">
      <c r="A172" s="28" t="s">
        <v>1142</v>
      </c>
      <c r="B172" s="28" t="s">
        <v>1143</v>
      </c>
    </row>
    <row r="173" spans="1:2" x14ac:dyDescent="0.25">
      <c r="A173" s="28" t="s">
        <v>1144</v>
      </c>
      <c r="B173" s="28" t="s">
        <v>1145</v>
      </c>
    </row>
    <row r="174" spans="1:2" x14ac:dyDescent="0.25">
      <c r="A174" s="28" t="s">
        <v>1146</v>
      </c>
      <c r="B174" s="28" t="s">
        <v>1147</v>
      </c>
    </row>
    <row r="175" spans="1:2" x14ac:dyDescent="0.25">
      <c r="A175" s="28" t="s">
        <v>1148</v>
      </c>
      <c r="B175" s="28" t="s">
        <v>1149</v>
      </c>
    </row>
    <row r="176" spans="1:2" x14ac:dyDescent="0.25">
      <c r="A176" s="28" t="s">
        <v>1150</v>
      </c>
      <c r="B176" s="28" t="s">
        <v>1151</v>
      </c>
    </row>
    <row r="177" spans="1:2" x14ac:dyDescent="0.25">
      <c r="A177" s="28" t="s">
        <v>1152</v>
      </c>
      <c r="B177" s="28" t="s">
        <v>1153</v>
      </c>
    </row>
    <row r="178" spans="1:2" x14ac:dyDescent="0.25">
      <c r="A178" s="28" t="s">
        <v>1154</v>
      </c>
      <c r="B178" s="28" t="s">
        <v>1155</v>
      </c>
    </row>
    <row r="179" spans="1:2" x14ac:dyDescent="0.25">
      <c r="A179" s="28" t="s">
        <v>1156</v>
      </c>
      <c r="B179" s="28" t="s">
        <v>1157</v>
      </c>
    </row>
    <row r="180" spans="1:2" x14ac:dyDescent="0.25">
      <c r="A180" s="28" t="s">
        <v>1158</v>
      </c>
      <c r="B180" s="28" t="s">
        <v>1159</v>
      </c>
    </row>
    <row r="181" spans="1:2" x14ac:dyDescent="0.25">
      <c r="A181" s="28" t="s">
        <v>1160</v>
      </c>
      <c r="B181" s="28" t="s">
        <v>1161</v>
      </c>
    </row>
    <row r="182" spans="1:2" x14ac:dyDescent="0.25">
      <c r="A182" s="28" t="s">
        <v>1162</v>
      </c>
      <c r="B182" s="28" t="s">
        <v>1163</v>
      </c>
    </row>
    <row r="183" spans="1:2" x14ac:dyDescent="0.25">
      <c r="A183" s="28" t="s">
        <v>1164</v>
      </c>
      <c r="B183" s="28" t="s">
        <v>1165</v>
      </c>
    </row>
    <row r="184" spans="1:2" x14ac:dyDescent="0.25">
      <c r="A184" s="28" t="s">
        <v>1166</v>
      </c>
      <c r="B184" s="28" t="s">
        <v>1167</v>
      </c>
    </row>
    <row r="185" spans="1:2" x14ac:dyDescent="0.25">
      <c r="A185" s="28" t="s">
        <v>1168</v>
      </c>
      <c r="B185" s="28" t="s">
        <v>1169</v>
      </c>
    </row>
    <row r="186" spans="1:2" x14ac:dyDescent="0.25">
      <c r="A186" s="28" t="s">
        <v>1170</v>
      </c>
      <c r="B186" s="28" t="s">
        <v>1171</v>
      </c>
    </row>
    <row r="187" spans="1:2" x14ac:dyDescent="0.25">
      <c r="A187" s="28" t="s">
        <v>1172</v>
      </c>
      <c r="B187" s="28" t="s">
        <v>1173</v>
      </c>
    </row>
    <row r="188" spans="1:2" x14ac:dyDescent="0.25">
      <c r="A188" s="28" t="s">
        <v>1174</v>
      </c>
      <c r="B188" s="28" t="s">
        <v>1175</v>
      </c>
    </row>
    <row r="189" spans="1:2" x14ac:dyDescent="0.25">
      <c r="A189" s="28" t="s">
        <v>1176</v>
      </c>
      <c r="B189" s="28" t="s">
        <v>1177</v>
      </c>
    </row>
    <row r="190" spans="1:2" x14ac:dyDescent="0.25">
      <c r="A190" s="28" t="s">
        <v>1178</v>
      </c>
      <c r="B190" s="28" t="s">
        <v>1179</v>
      </c>
    </row>
    <row r="191" spans="1:2" x14ac:dyDescent="0.25">
      <c r="A191" s="28" t="s">
        <v>1180</v>
      </c>
      <c r="B191" s="28" t="s">
        <v>1181</v>
      </c>
    </row>
    <row r="192" spans="1:2" x14ac:dyDescent="0.25">
      <c r="A192" s="28" t="s">
        <v>1182</v>
      </c>
      <c r="B192" s="28" t="s">
        <v>1183</v>
      </c>
    </row>
    <row r="193" spans="1:2" x14ac:dyDescent="0.25">
      <c r="A193" s="28" t="s">
        <v>1184</v>
      </c>
      <c r="B193" s="28" t="s">
        <v>1185</v>
      </c>
    </row>
    <row r="194" spans="1:2" x14ac:dyDescent="0.25">
      <c r="A194" s="28" t="s">
        <v>1186</v>
      </c>
      <c r="B194" s="28" t="s">
        <v>1187</v>
      </c>
    </row>
    <row r="195" spans="1:2" x14ac:dyDescent="0.25">
      <c r="A195" s="28" t="s">
        <v>1188</v>
      </c>
      <c r="B195" s="28" t="s">
        <v>1189</v>
      </c>
    </row>
    <row r="196" spans="1:2" x14ac:dyDescent="0.25">
      <c r="A196" s="28" t="s">
        <v>469</v>
      </c>
      <c r="B196" s="28" t="s">
        <v>1190</v>
      </c>
    </row>
    <row r="197" spans="1:2" x14ac:dyDescent="0.25">
      <c r="A197" s="28" t="s">
        <v>1191</v>
      </c>
      <c r="B197" s="28" t="s">
        <v>1192</v>
      </c>
    </row>
    <row r="198" spans="1:2" x14ac:dyDescent="0.25">
      <c r="A198" s="28" t="s">
        <v>1193</v>
      </c>
      <c r="B198" s="28" t="s">
        <v>1194</v>
      </c>
    </row>
    <row r="199" spans="1:2" x14ac:dyDescent="0.25">
      <c r="A199" s="28" t="s">
        <v>1195</v>
      </c>
      <c r="B199" s="28" t="s">
        <v>1196</v>
      </c>
    </row>
    <row r="200" spans="1:2" x14ac:dyDescent="0.25">
      <c r="A200" s="28" t="s">
        <v>1197</v>
      </c>
      <c r="B200" s="28" t="s">
        <v>1198</v>
      </c>
    </row>
    <row r="201" spans="1:2" x14ac:dyDescent="0.25">
      <c r="A201" s="28" t="s">
        <v>1199</v>
      </c>
      <c r="B201" s="28" t="s">
        <v>1200</v>
      </c>
    </row>
    <row r="202" spans="1:2" x14ac:dyDescent="0.25">
      <c r="A202" s="28" t="s">
        <v>1201</v>
      </c>
      <c r="B202" s="28" t="s">
        <v>1202</v>
      </c>
    </row>
    <row r="203" spans="1:2" x14ac:dyDescent="0.25">
      <c r="A203" s="28" t="s">
        <v>584</v>
      </c>
      <c r="B203" s="28" t="s">
        <v>1203</v>
      </c>
    </row>
    <row r="204" spans="1:2" x14ac:dyDescent="0.25">
      <c r="A204" s="28" t="s">
        <v>1204</v>
      </c>
      <c r="B204" s="28" t="s">
        <v>1205</v>
      </c>
    </row>
    <row r="205" spans="1:2" x14ac:dyDescent="0.25">
      <c r="A205" s="28" t="s">
        <v>1206</v>
      </c>
      <c r="B205" s="28" t="s">
        <v>1207</v>
      </c>
    </row>
    <row r="206" spans="1:2" x14ac:dyDescent="0.25">
      <c r="A206" s="28" t="s">
        <v>1208</v>
      </c>
      <c r="B206" s="28" t="s">
        <v>1209</v>
      </c>
    </row>
    <row r="207" spans="1:2" x14ac:dyDescent="0.25">
      <c r="A207" s="28" t="s">
        <v>1210</v>
      </c>
      <c r="B207" s="28" t="s">
        <v>1211</v>
      </c>
    </row>
    <row r="208" spans="1:2" x14ac:dyDescent="0.25">
      <c r="A208" s="28" t="s">
        <v>1212</v>
      </c>
      <c r="B208" s="28" t="s">
        <v>1213</v>
      </c>
    </row>
    <row r="209" spans="1:2" x14ac:dyDescent="0.25">
      <c r="A209" s="28" t="s">
        <v>1214</v>
      </c>
      <c r="B209" s="28" t="s">
        <v>1215</v>
      </c>
    </row>
    <row r="210" spans="1:2" x14ac:dyDescent="0.25">
      <c r="A210" s="28" t="s">
        <v>1216</v>
      </c>
      <c r="B210" s="28" t="s">
        <v>1217</v>
      </c>
    </row>
    <row r="211" spans="1:2" x14ac:dyDescent="0.25">
      <c r="A211" s="28" t="s">
        <v>1218</v>
      </c>
      <c r="B211" s="28" t="s">
        <v>1219</v>
      </c>
    </row>
    <row r="212" spans="1:2" x14ac:dyDescent="0.25">
      <c r="A212" s="28" t="s">
        <v>1220</v>
      </c>
      <c r="B212" s="28" t="s">
        <v>1221</v>
      </c>
    </row>
    <row r="213" spans="1:2" x14ac:dyDescent="0.25">
      <c r="A213" s="28" t="s">
        <v>1222</v>
      </c>
      <c r="B213" s="28" t="s">
        <v>1223</v>
      </c>
    </row>
    <row r="214" spans="1:2" x14ac:dyDescent="0.25">
      <c r="A214" s="28" t="s">
        <v>1224</v>
      </c>
      <c r="B214" s="28" t="s">
        <v>1225</v>
      </c>
    </row>
    <row r="215" spans="1:2" x14ac:dyDescent="0.25">
      <c r="A215" s="28" t="s">
        <v>1226</v>
      </c>
      <c r="B215" s="28" t="s">
        <v>1227</v>
      </c>
    </row>
    <row r="216" spans="1:2" x14ac:dyDescent="0.25">
      <c r="A216" s="28" t="s">
        <v>1228</v>
      </c>
      <c r="B216" s="28" t="s">
        <v>1229</v>
      </c>
    </row>
    <row r="217" spans="1:2" x14ac:dyDescent="0.25">
      <c r="A217" s="28" t="s">
        <v>1230</v>
      </c>
      <c r="B217" s="28" t="s">
        <v>1231</v>
      </c>
    </row>
    <row r="218" spans="1:2" x14ac:dyDescent="0.25">
      <c r="A218" s="28" t="s">
        <v>1232</v>
      </c>
      <c r="B218" s="28" t="s">
        <v>1233</v>
      </c>
    </row>
    <row r="219" spans="1:2" x14ac:dyDescent="0.25">
      <c r="A219" s="28" t="s">
        <v>1234</v>
      </c>
      <c r="B219" s="28" t="s">
        <v>1235</v>
      </c>
    </row>
    <row r="220" spans="1:2" x14ac:dyDescent="0.25">
      <c r="A220" s="28" t="s">
        <v>1236</v>
      </c>
      <c r="B220" s="28" t="s">
        <v>1237</v>
      </c>
    </row>
    <row r="221" spans="1:2" x14ac:dyDescent="0.25">
      <c r="A221" s="28" t="s">
        <v>1238</v>
      </c>
      <c r="B221" s="28" t="s">
        <v>1239</v>
      </c>
    </row>
    <row r="222" spans="1:2" x14ac:dyDescent="0.25">
      <c r="A222" s="28" t="s">
        <v>1240</v>
      </c>
      <c r="B222" s="28" t="s">
        <v>1241</v>
      </c>
    </row>
    <row r="223" spans="1:2" x14ac:dyDescent="0.25">
      <c r="A223" s="28" t="s">
        <v>1242</v>
      </c>
      <c r="B223" s="28" t="s">
        <v>1243</v>
      </c>
    </row>
    <row r="224" spans="1:2" x14ac:dyDescent="0.25">
      <c r="A224" s="28" t="s">
        <v>1244</v>
      </c>
      <c r="B224" s="28" t="s">
        <v>1245</v>
      </c>
    </row>
    <row r="225" spans="1:2" x14ac:dyDescent="0.25">
      <c r="A225" s="28" t="s">
        <v>1246</v>
      </c>
      <c r="B225" s="28" t="s">
        <v>1247</v>
      </c>
    </row>
    <row r="226" spans="1:2" x14ac:dyDescent="0.25">
      <c r="A226" s="28" t="s">
        <v>1248</v>
      </c>
      <c r="B226" s="28" t="s">
        <v>1249</v>
      </c>
    </row>
    <row r="227" spans="1:2" x14ac:dyDescent="0.25">
      <c r="A227" s="28" t="s">
        <v>1250</v>
      </c>
      <c r="B227" s="28" t="s">
        <v>1251</v>
      </c>
    </row>
    <row r="228" spans="1:2" x14ac:dyDescent="0.25">
      <c r="A228" s="28" t="s">
        <v>1252</v>
      </c>
      <c r="B228" s="28" t="s">
        <v>1253</v>
      </c>
    </row>
    <row r="229" spans="1:2" x14ac:dyDescent="0.25">
      <c r="A229" s="28" t="s">
        <v>1254</v>
      </c>
      <c r="B229" s="28" t="s">
        <v>1255</v>
      </c>
    </row>
    <row r="230" spans="1:2" x14ac:dyDescent="0.25">
      <c r="A230" s="28" t="s">
        <v>1256</v>
      </c>
      <c r="B230" s="28" t="s">
        <v>1257</v>
      </c>
    </row>
    <row r="231" spans="1:2" x14ac:dyDescent="0.25">
      <c r="A231" s="28" t="s">
        <v>1258</v>
      </c>
      <c r="B231" s="28" t="s">
        <v>1259</v>
      </c>
    </row>
    <row r="232" spans="1:2" x14ac:dyDescent="0.25">
      <c r="A232" s="28" t="s">
        <v>1260</v>
      </c>
      <c r="B232" s="28" t="s">
        <v>1261</v>
      </c>
    </row>
    <row r="233" spans="1:2" x14ac:dyDescent="0.25">
      <c r="A233" s="28" t="s">
        <v>1262</v>
      </c>
      <c r="B233" s="28" t="s">
        <v>1263</v>
      </c>
    </row>
    <row r="234" spans="1:2" x14ac:dyDescent="0.25">
      <c r="A234" s="28" t="s">
        <v>1264</v>
      </c>
      <c r="B234" s="28" t="s">
        <v>1265</v>
      </c>
    </row>
    <row r="235" spans="1:2" x14ac:dyDescent="0.25">
      <c r="A235" s="28" t="s">
        <v>1266</v>
      </c>
      <c r="B235" s="28" t="s">
        <v>1267</v>
      </c>
    </row>
    <row r="236" spans="1:2" x14ac:dyDescent="0.25">
      <c r="A236" s="28" t="s">
        <v>1268</v>
      </c>
      <c r="B236" s="28" t="s">
        <v>1269</v>
      </c>
    </row>
    <row r="237" spans="1:2" x14ac:dyDescent="0.25">
      <c r="A237" s="28" t="s">
        <v>1270</v>
      </c>
      <c r="B237" s="28" t="s">
        <v>1271</v>
      </c>
    </row>
    <row r="238" spans="1:2" x14ac:dyDescent="0.25">
      <c r="A238" s="28" t="s">
        <v>1272</v>
      </c>
      <c r="B238" s="28" t="s">
        <v>1273</v>
      </c>
    </row>
    <row r="239" spans="1:2" x14ac:dyDescent="0.25">
      <c r="A239" s="28" t="s">
        <v>1274</v>
      </c>
      <c r="B239" s="28" t="s">
        <v>1275</v>
      </c>
    </row>
    <row r="240" spans="1:2" x14ac:dyDescent="0.25">
      <c r="A240" s="28" t="s">
        <v>1276</v>
      </c>
      <c r="B240" s="28" t="s">
        <v>1277</v>
      </c>
    </row>
    <row r="241" spans="1:2" x14ac:dyDescent="0.25">
      <c r="A241" s="28" t="s">
        <v>1278</v>
      </c>
      <c r="B241" s="28" t="s">
        <v>1279</v>
      </c>
    </row>
    <row r="242" spans="1:2" x14ac:dyDescent="0.25">
      <c r="A242" s="28" t="s">
        <v>1280</v>
      </c>
      <c r="B242" s="28" t="s">
        <v>1281</v>
      </c>
    </row>
    <row r="243" spans="1:2" x14ac:dyDescent="0.25">
      <c r="A243" s="28" t="s">
        <v>1282</v>
      </c>
      <c r="B243" s="28" t="s">
        <v>1283</v>
      </c>
    </row>
    <row r="244" spans="1:2" x14ac:dyDescent="0.25">
      <c r="A244" s="28" t="s">
        <v>1284</v>
      </c>
      <c r="B244" s="28" t="s">
        <v>1285</v>
      </c>
    </row>
    <row r="245" spans="1:2" x14ac:dyDescent="0.25">
      <c r="A245" s="28" t="s">
        <v>1286</v>
      </c>
      <c r="B245" s="28" t="s">
        <v>1287</v>
      </c>
    </row>
    <row r="246" spans="1:2" x14ac:dyDescent="0.25">
      <c r="A246" s="28" t="s">
        <v>1288</v>
      </c>
      <c r="B246" s="28" t="s">
        <v>1289</v>
      </c>
    </row>
    <row r="247" spans="1:2" x14ac:dyDescent="0.25">
      <c r="A247" s="28" t="s">
        <v>1290</v>
      </c>
      <c r="B247" s="28" t="s">
        <v>1291</v>
      </c>
    </row>
    <row r="248" spans="1:2" x14ac:dyDescent="0.25">
      <c r="A248" s="28" t="s">
        <v>1292</v>
      </c>
      <c r="B248" s="28" t="s">
        <v>1293</v>
      </c>
    </row>
    <row r="249" spans="1:2" x14ac:dyDescent="0.25">
      <c r="A249" s="28" t="s">
        <v>1294</v>
      </c>
      <c r="B249" s="28" t="s">
        <v>1295</v>
      </c>
    </row>
    <row r="250" spans="1:2" x14ac:dyDescent="0.25">
      <c r="A250" s="28" t="s">
        <v>1296</v>
      </c>
      <c r="B250" s="28" t="s">
        <v>1297</v>
      </c>
    </row>
    <row r="251" spans="1:2" x14ac:dyDescent="0.25">
      <c r="A251" s="28" t="s">
        <v>1298</v>
      </c>
      <c r="B251" s="28" t="s">
        <v>1299</v>
      </c>
    </row>
    <row r="252" spans="1:2" x14ac:dyDescent="0.25">
      <c r="A252" s="28" t="s">
        <v>1300</v>
      </c>
      <c r="B252" s="28" t="s">
        <v>1301</v>
      </c>
    </row>
    <row r="253" spans="1:2" x14ac:dyDescent="0.25">
      <c r="A253" s="28" t="s">
        <v>1302</v>
      </c>
      <c r="B253" s="28" t="s">
        <v>1303</v>
      </c>
    </row>
    <row r="254" spans="1:2" x14ac:dyDescent="0.25">
      <c r="A254" s="28" t="s">
        <v>1304</v>
      </c>
      <c r="B254" s="28" t="s">
        <v>1305</v>
      </c>
    </row>
    <row r="255" spans="1:2" x14ac:dyDescent="0.25">
      <c r="A255" s="28" t="s">
        <v>1306</v>
      </c>
      <c r="B255" s="28" t="s">
        <v>1307</v>
      </c>
    </row>
    <row r="256" spans="1:2" x14ac:dyDescent="0.25">
      <c r="A256" s="28" t="s">
        <v>1308</v>
      </c>
      <c r="B256" s="28" t="s">
        <v>1309</v>
      </c>
    </row>
    <row r="257" spans="1:2" x14ac:dyDescent="0.25">
      <c r="A257" s="28" t="s">
        <v>1310</v>
      </c>
      <c r="B257" s="28" t="s">
        <v>1311</v>
      </c>
    </row>
    <row r="258" spans="1:2" x14ac:dyDescent="0.25">
      <c r="A258" s="28" t="s">
        <v>1312</v>
      </c>
      <c r="B258" s="28" t="s">
        <v>1313</v>
      </c>
    </row>
    <row r="259" spans="1:2" x14ac:dyDescent="0.25">
      <c r="A259" s="28" t="s">
        <v>1314</v>
      </c>
      <c r="B259" s="28" t="s">
        <v>1315</v>
      </c>
    </row>
    <row r="260" spans="1:2" x14ac:dyDescent="0.25">
      <c r="A260" s="28" t="s">
        <v>1316</v>
      </c>
      <c r="B260" s="28" t="s">
        <v>1317</v>
      </c>
    </row>
    <row r="261" spans="1:2" x14ac:dyDescent="0.25">
      <c r="A261" s="28" t="s">
        <v>1318</v>
      </c>
      <c r="B261" s="28" t="s">
        <v>1319</v>
      </c>
    </row>
    <row r="262" spans="1:2" x14ac:dyDescent="0.25">
      <c r="A262" s="28" t="s">
        <v>1320</v>
      </c>
      <c r="B262" s="28" t="s">
        <v>1321</v>
      </c>
    </row>
    <row r="263" spans="1:2" x14ac:dyDescent="0.25">
      <c r="A263" s="28" t="s">
        <v>207</v>
      </c>
      <c r="B263" s="28" t="s">
        <v>1322</v>
      </c>
    </row>
    <row r="264" spans="1:2" x14ac:dyDescent="0.25">
      <c r="A264" s="28" t="s">
        <v>1323</v>
      </c>
      <c r="B264" s="28" t="s">
        <v>1324</v>
      </c>
    </row>
    <row r="265" spans="1:2" x14ac:dyDescent="0.25">
      <c r="A265" s="28" t="s">
        <v>1325</v>
      </c>
      <c r="B265" s="28" t="s">
        <v>1326</v>
      </c>
    </row>
    <row r="266" spans="1:2" x14ac:dyDescent="0.25">
      <c r="A266" s="28" t="s">
        <v>1327</v>
      </c>
      <c r="B266" s="28" t="s">
        <v>1328</v>
      </c>
    </row>
    <row r="267" spans="1:2" x14ac:dyDescent="0.25">
      <c r="A267" s="28" t="s">
        <v>1329</v>
      </c>
      <c r="B267" s="28" t="s">
        <v>1330</v>
      </c>
    </row>
    <row r="268" spans="1:2" x14ac:dyDescent="0.25">
      <c r="A268" s="28" t="s">
        <v>1331</v>
      </c>
      <c r="B268" s="28" t="s">
        <v>1332</v>
      </c>
    </row>
    <row r="269" spans="1:2" x14ac:dyDescent="0.25">
      <c r="A269" s="28" t="s">
        <v>1333</v>
      </c>
      <c r="B269" s="28" t="s">
        <v>1334</v>
      </c>
    </row>
    <row r="270" spans="1:2" x14ac:dyDescent="0.25">
      <c r="A270" s="28" t="s">
        <v>1335</v>
      </c>
      <c r="B270" s="28" t="s">
        <v>1336</v>
      </c>
    </row>
    <row r="271" spans="1:2" x14ac:dyDescent="0.25">
      <c r="A271" s="28" t="s">
        <v>1337</v>
      </c>
      <c r="B271" s="28" t="s">
        <v>1338</v>
      </c>
    </row>
    <row r="272" spans="1:2" x14ac:dyDescent="0.25">
      <c r="A272" s="28" t="s">
        <v>1339</v>
      </c>
      <c r="B272" s="28" t="s">
        <v>1340</v>
      </c>
    </row>
    <row r="273" spans="1:2" x14ac:dyDescent="0.25">
      <c r="A273" s="28" t="s">
        <v>1341</v>
      </c>
      <c r="B273" s="28" t="s">
        <v>1342</v>
      </c>
    </row>
    <row r="274" spans="1:2" x14ac:dyDescent="0.25">
      <c r="A274" s="28" t="s">
        <v>1343</v>
      </c>
      <c r="B274" s="28" t="s">
        <v>1344</v>
      </c>
    </row>
    <row r="275" spans="1:2" x14ac:dyDescent="0.25">
      <c r="A275" s="28" t="s">
        <v>1345</v>
      </c>
      <c r="B275" s="28" t="s">
        <v>1346</v>
      </c>
    </row>
    <row r="276" spans="1:2" x14ac:dyDescent="0.25">
      <c r="A276" s="28" t="s">
        <v>1347</v>
      </c>
      <c r="B276" s="28" t="s">
        <v>1348</v>
      </c>
    </row>
    <row r="277" spans="1:2" x14ac:dyDescent="0.25">
      <c r="A277" s="28" t="s">
        <v>1349</v>
      </c>
      <c r="B277" s="28" t="s">
        <v>1350</v>
      </c>
    </row>
    <row r="278" spans="1:2" x14ac:dyDescent="0.25">
      <c r="A278" s="28" t="s">
        <v>1351</v>
      </c>
      <c r="B278" s="28" t="s">
        <v>1352</v>
      </c>
    </row>
    <row r="279" spans="1:2" x14ac:dyDescent="0.25">
      <c r="A279" s="28" t="s">
        <v>1353</v>
      </c>
      <c r="B279" s="28" t="s">
        <v>1354</v>
      </c>
    </row>
    <row r="280" spans="1:2" x14ac:dyDescent="0.25">
      <c r="A280" s="28" t="s">
        <v>1355</v>
      </c>
      <c r="B280" s="28" t="s">
        <v>1356</v>
      </c>
    </row>
    <row r="281" spans="1:2" x14ac:dyDescent="0.25">
      <c r="A281" s="28" t="s">
        <v>1357</v>
      </c>
      <c r="B281" s="28" t="s">
        <v>1358</v>
      </c>
    </row>
    <row r="282" spans="1:2" x14ac:dyDescent="0.25">
      <c r="A282" s="28" t="s">
        <v>1359</v>
      </c>
      <c r="B282" s="28" t="s">
        <v>1360</v>
      </c>
    </row>
    <row r="283" spans="1:2" x14ac:dyDescent="0.25">
      <c r="A283" s="28" t="s">
        <v>1361</v>
      </c>
      <c r="B283" s="28" t="s">
        <v>1362</v>
      </c>
    </row>
    <row r="284" spans="1:2" x14ac:dyDescent="0.25">
      <c r="A284" s="28" t="s">
        <v>1363</v>
      </c>
      <c r="B284" s="28" t="s">
        <v>1364</v>
      </c>
    </row>
    <row r="285" spans="1:2" x14ac:dyDescent="0.25">
      <c r="A285" s="28" t="s">
        <v>1365</v>
      </c>
      <c r="B285" s="28" t="s">
        <v>1366</v>
      </c>
    </row>
    <row r="286" spans="1:2" x14ac:dyDescent="0.25">
      <c r="A286" s="28" t="s">
        <v>1367</v>
      </c>
      <c r="B286" s="28" t="s">
        <v>1368</v>
      </c>
    </row>
    <row r="287" spans="1:2" x14ac:dyDescent="0.25">
      <c r="A287" s="28" t="s">
        <v>1369</v>
      </c>
      <c r="B287" s="28" t="s">
        <v>1370</v>
      </c>
    </row>
    <row r="288" spans="1:2" x14ac:dyDescent="0.25">
      <c r="A288" s="28" t="s">
        <v>1371</v>
      </c>
      <c r="B288" s="28" t="s">
        <v>1372</v>
      </c>
    </row>
    <row r="289" spans="1:2" x14ac:dyDescent="0.25">
      <c r="A289" s="28" t="s">
        <v>1373</v>
      </c>
      <c r="B289" s="28" t="s">
        <v>1374</v>
      </c>
    </row>
    <row r="290" spans="1:2" x14ac:dyDescent="0.25">
      <c r="A290" s="28" t="s">
        <v>1375</v>
      </c>
      <c r="B290" s="28" t="s">
        <v>1376</v>
      </c>
    </row>
    <row r="291" spans="1:2" x14ac:dyDescent="0.25">
      <c r="A291" s="28" t="s">
        <v>1377</v>
      </c>
      <c r="B291" s="28" t="s">
        <v>1378</v>
      </c>
    </row>
    <row r="292" spans="1:2" x14ac:dyDescent="0.25">
      <c r="A292" s="28" t="s">
        <v>1379</v>
      </c>
      <c r="B292" s="28" t="s">
        <v>1380</v>
      </c>
    </row>
    <row r="293" spans="1:2" x14ac:dyDescent="0.25">
      <c r="A293" s="28" t="s">
        <v>1381</v>
      </c>
      <c r="B293" s="28" t="s">
        <v>1382</v>
      </c>
    </row>
    <row r="294" spans="1:2" x14ac:dyDescent="0.25">
      <c r="A294" s="28" t="s">
        <v>1383</v>
      </c>
      <c r="B294" s="28" t="s">
        <v>1384</v>
      </c>
    </row>
    <row r="295" spans="1:2" x14ac:dyDescent="0.25">
      <c r="A295" s="28" t="s">
        <v>1385</v>
      </c>
      <c r="B295" s="28" t="s">
        <v>1386</v>
      </c>
    </row>
    <row r="296" spans="1:2" x14ac:dyDescent="0.25">
      <c r="A296" s="28" t="s">
        <v>1387</v>
      </c>
      <c r="B296" s="28" t="s">
        <v>1388</v>
      </c>
    </row>
    <row r="297" spans="1:2" x14ac:dyDescent="0.25">
      <c r="A297" s="28" t="s">
        <v>1389</v>
      </c>
      <c r="B297" s="28" t="s">
        <v>1390</v>
      </c>
    </row>
    <row r="298" spans="1:2" x14ac:dyDescent="0.25">
      <c r="A298" s="28" t="s">
        <v>237</v>
      </c>
      <c r="B298" s="28" t="s">
        <v>1391</v>
      </c>
    </row>
    <row r="299" spans="1:2" x14ac:dyDescent="0.25">
      <c r="A299" s="28" t="s">
        <v>1392</v>
      </c>
      <c r="B299" s="28" t="s">
        <v>1393</v>
      </c>
    </row>
    <row r="300" spans="1:2" x14ac:dyDescent="0.25">
      <c r="A300" s="28" t="s">
        <v>1394</v>
      </c>
      <c r="B300" s="28" t="s">
        <v>1395</v>
      </c>
    </row>
    <row r="301" spans="1:2" x14ac:dyDescent="0.25">
      <c r="A301" s="28" t="s">
        <v>1396</v>
      </c>
      <c r="B301" s="28" t="s">
        <v>1397</v>
      </c>
    </row>
    <row r="302" spans="1:2" x14ac:dyDescent="0.25">
      <c r="A302" s="28" t="s">
        <v>1398</v>
      </c>
      <c r="B302" s="28" t="s">
        <v>1399</v>
      </c>
    </row>
    <row r="303" spans="1:2" x14ac:dyDescent="0.25">
      <c r="A303" s="28" t="s">
        <v>1400</v>
      </c>
      <c r="B303" s="28" t="s">
        <v>1401</v>
      </c>
    </row>
    <row r="304" spans="1:2" x14ac:dyDescent="0.25">
      <c r="A304" s="28" t="s">
        <v>1402</v>
      </c>
      <c r="B304" s="28" t="s">
        <v>1403</v>
      </c>
    </row>
    <row r="305" spans="1:2" x14ac:dyDescent="0.25">
      <c r="A305" s="28" t="s">
        <v>1404</v>
      </c>
      <c r="B305" s="28" t="s">
        <v>1405</v>
      </c>
    </row>
    <row r="306" spans="1:2" x14ac:dyDescent="0.25">
      <c r="A306" s="28" t="s">
        <v>1406</v>
      </c>
      <c r="B306" s="28" t="s">
        <v>1407</v>
      </c>
    </row>
    <row r="307" spans="1:2" x14ac:dyDescent="0.25">
      <c r="A307" s="28" t="s">
        <v>1408</v>
      </c>
      <c r="B307" s="28" t="s">
        <v>1409</v>
      </c>
    </row>
    <row r="308" spans="1:2" x14ac:dyDescent="0.25">
      <c r="A308" s="28" t="s">
        <v>1410</v>
      </c>
      <c r="B308" s="28" t="s">
        <v>1411</v>
      </c>
    </row>
    <row r="309" spans="1:2" x14ac:dyDescent="0.25">
      <c r="A309" s="28" t="s">
        <v>1412</v>
      </c>
      <c r="B309" s="28" t="s">
        <v>1413</v>
      </c>
    </row>
    <row r="310" spans="1:2" x14ac:dyDescent="0.25">
      <c r="A310" s="28" t="s">
        <v>1414</v>
      </c>
      <c r="B310" s="28" t="s">
        <v>1415</v>
      </c>
    </row>
    <row r="311" spans="1:2" x14ac:dyDescent="0.25">
      <c r="A311" s="28" t="s">
        <v>1416</v>
      </c>
      <c r="B311" s="28" t="s">
        <v>1417</v>
      </c>
    </row>
    <row r="312" spans="1:2" x14ac:dyDescent="0.25">
      <c r="A312" s="28" t="s">
        <v>1418</v>
      </c>
      <c r="B312" s="28" t="s">
        <v>1419</v>
      </c>
    </row>
    <row r="313" spans="1:2" x14ac:dyDescent="0.25">
      <c r="A313" s="28" t="s">
        <v>1420</v>
      </c>
      <c r="B313" s="28" t="s">
        <v>1421</v>
      </c>
    </row>
    <row r="314" spans="1:2" x14ac:dyDescent="0.25">
      <c r="A314" s="28" t="s">
        <v>1422</v>
      </c>
      <c r="B314" s="28" t="s">
        <v>1423</v>
      </c>
    </row>
    <row r="315" spans="1:2" x14ac:dyDescent="0.25">
      <c r="A315" s="28" t="s">
        <v>1424</v>
      </c>
      <c r="B315" s="28" t="s">
        <v>1425</v>
      </c>
    </row>
    <row r="316" spans="1:2" x14ac:dyDescent="0.25">
      <c r="A316" s="28" t="s">
        <v>1426</v>
      </c>
      <c r="B316" s="28" t="s">
        <v>1427</v>
      </c>
    </row>
    <row r="317" spans="1:2" x14ac:dyDescent="0.25">
      <c r="A317" s="28" t="s">
        <v>1428</v>
      </c>
      <c r="B317" s="28" t="s">
        <v>1429</v>
      </c>
    </row>
    <row r="318" spans="1:2" x14ac:dyDescent="0.25">
      <c r="A318" s="28" t="s">
        <v>1430</v>
      </c>
      <c r="B318" s="28" t="s">
        <v>1431</v>
      </c>
    </row>
    <row r="319" spans="1:2" x14ac:dyDescent="0.25">
      <c r="A319" s="28" t="s">
        <v>1432</v>
      </c>
      <c r="B319" s="28" t="s">
        <v>1433</v>
      </c>
    </row>
    <row r="320" spans="1:2" x14ac:dyDescent="0.25">
      <c r="A320" s="28" t="s">
        <v>1434</v>
      </c>
      <c r="B320" s="28" t="s">
        <v>1435</v>
      </c>
    </row>
    <row r="321" spans="1:2" x14ac:dyDescent="0.25">
      <c r="A321" s="28" t="s">
        <v>1436</v>
      </c>
      <c r="B321" s="28" t="s">
        <v>1437</v>
      </c>
    </row>
    <row r="322" spans="1:2" x14ac:dyDescent="0.25">
      <c r="A322" s="28" t="s">
        <v>1438</v>
      </c>
      <c r="B322" s="28" t="s">
        <v>1439</v>
      </c>
    </row>
    <row r="323" spans="1:2" x14ac:dyDescent="0.25">
      <c r="A323" s="28" t="s">
        <v>1440</v>
      </c>
      <c r="B323" s="28" t="s">
        <v>1441</v>
      </c>
    </row>
    <row r="324" spans="1:2" x14ac:dyDescent="0.25">
      <c r="A324" s="28" t="s">
        <v>1442</v>
      </c>
      <c r="B324" s="28" t="s">
        <v>1443</v>
      </c>
    </row>
    <row r="325" spans="1:2" x14ac:dyDescent="0.25">
      <c r="A325" s="28" t="s">
        <v>1444</v>
      </c>
      <c r="B325" s="28" t="s">
        <v>1445</v>
      </c>
    </row>
    <row r="326" spans="1:2" x14ac:dyDescent="0.25">
      <c r="A326" s="28" t="s">
        <v>1446</v>
      </c>
      <c r="B326" s="28" t="s">
        <v>1447</v>
      </c>
    </row>
    <row r="327" spans="1:2" x14ac:dyDescent="0.25">
      <c r="A327" s="28" t="s">
        <v>1448</v>
      </c>
      <c r="B327" s="28" t="s">
        <v>1449</v>
      </c>
    </row>
    <row r="328" spans="1:2" x14ac:dyDescent="0.25">
      <c r="A328" s="28" t="s">
        <v>1450</v>
      </c>
      <c r="B328" s="28" t="s">
        <v>1451</v>
      </c>
    </row>
    <row r="329" spans="1:2" x14ac:dyDescent="0.25">
      <c r="A329" s="28" t="s">
        <v>1452</v>
      </c>
      <c r="B329" s="28" t="s">
        <v>1453</v>
      </c>
    </row>
    <row r="330" spans="1:2" x14ac:dyDescent="0.25">
      <c r="A330" s="28" t="s">
        <v>1454</v>
      </c>
      <c r="B330" s="28" t="s">
        <v>1455</v>
      </c>
    </row>
    <row r="331" spans="1:2" x14ac:dyDescent="0.25">
      <c r="A331" s="28" t="s">
        <v>1456</v>
      </c>
      <c r="B331" s="28" t="s">
        <v>1457</v>
      </c>
    </row>
    <row r="332" spans="1:2" x14ac:dyDescent="0.25">
      <c r="A332" s="28" t="s">
        <v>1458</v>
      </c>
      <c r="B332" s="28" t="s">
        <v>1459</v>
      </c>
    </row>
    <row r="333" spans="1:2" x14ac:dyDescent="0.25">
      <c r="A333" s="28" t="s">
        <v>1460</v>
      </c>
      <c r="B333" s="28" t="s">
        <v>1461</v>
      </c>
    </row>
    <row r="334" spans="1:2" x14ac:dyDescent="0.25">
      <c r="A334" s="28" t="s">
        <v>1462</v>
      </c>
      <c r="B334" s="28" t="s">
        <v>1463</v>
      </c>
    </row>
    <row r="335" spans="1:2" x14ac:dyDescent="0.25">
      <c r="A335" s="28" t="s">
        <v>1464</v>
      </c>
      <c r="B335" s="28" t="s">
        <v>1465</v>
      </c>
    </row>
    <row r="336" spans="1:2" x14ac:dyDescent="0.25">
      <c r="A336" s="28" t="s">
        <v>1466</v>
      </c>
      <c r="B336" s="28" t="s">
        <v>1467</v>
      </c>
    </row>
    <row r="337" spans="1:2" x14ac:dyDescent="0.25">
      <c r="A337" s="28" t="s">
        <v>1468</v>
      </c>
      <c r="B337" s="28" t="s">
        <v>1469</v>
      </c>
    </row>
    <row r="338" spans="1:2" x14ac:dyDescent="0.25">
      <c r="A338" s="28" t="s">
        <v>1470</v>
      </c>
      <c r="B338" s="28" t="s">
        <v>1471</v>
      </c>
    </row>
    <row r="339" spans="1:2" x14ac:dyDescent="0.25">
      <c r="A339" s="28" t="s">
        <v>1472</v>
      </c>
      <c r="B339" s="28" t="s">
        <v>1473</v>
      </c>
    </row>
    <row r="340" spans="1:2" x14ac:dyDescent="0.25">
      <c r="A340" s="28" t="s">
        <v>1474</v>
      </c>
      <c r="B340" s="28" t="s">
        <v>1475</v>
      </c>
    </row>
    <row r="341" spans="1:2" x14ac:dyDescent="0.25">
      <c r="A341" s="28" t="s">
        <v>1476</v>
      </c>
      <c r="B341" s="28" t="s">
        <v>1477</v>
      </c>
    </row>
    <row r="342" spans="1:2" x14ac:dyDescent="0.25">
      <c r="A342" s="28" t="s">
        <v>1478</v>
      </c>
      <c r="B342" s="28" t="s">
        <v>1479</v>
      </c>
    </row>
    <row r="343" spans="1:2" x14ac:dyDescent="0.25">
      <c r="A343" s="28" t="s">
        <v>1480</v>
      </c>
      <c r="B343" s="28" t="s">
        <v>1481</v>
      </c>
    </row>
    <row r="344" spans="1:2" x14ac:dyDescent="0.25">
      <c r="A344" s="28" t="s">
        <v>1482</v>
      </c>
      <c r="B344" s="28" t="s">
        <v>1483</v>
      </c>
    </row>
    <row r="345" spans="1:2" x14ac:dyDescent="0.25">
      <c r="A345" s="28" t="s">
        <v>513</v>
      </c>
      <c r="B345" s="28" t="s">
        <v>1484</v>
      </c>
    </row>
    <row r="346" spans="1:2" x14ac:dyDescent="0.25">
      <c r="A346" s="28" t="s">
        <v>1485</v>
      </c>
      <c r="B346" s="28" t="s">
        <v>1486</v>
      </c>
    </row>
    <row r="347" spans="1:2" x14ac:dyDescent="0.25">
      <c r="A347" s="28" t="s">
        <v>1487</v>
      </c>
      <c r="B347" s="28" t="s">
        <v>1488</v>
      </c>
    </row>
    <row r="348" spans="1:2" x14ac:dyDescent="0.25">
      <c r="A348" s="28" t="s">
        <v>1489</v>
      </c>
      <c r="B348" s="28" t="s">
        <v>1490</v>
      </c>
    </row>
    <row r="349" spans="1:2" x14ac:dyDescent="0.25">
      <c r="A349" s="28" t="s">
        <v>1491</v>
      </c>
      <c r="B349" s="28" t="s">
        <v>1492</v>
      </c>
    </row>
    <row r="350" spans="1:2" x14ac:dyDescent="0.25">
      <c r="A350" s="28" t="s">
        <v>1493</v>
      </c>
      <c r="B350" s="28" t="s">
        <v>1494</v>
      </c>
    </row>
    <row r="351" spans="1:2" x14ac:dyDescent="0.25">
      <c r="A351" s="28" t="s">
        <v>1495</v>
      </c>
      <c r="B351" s="28" t="s">
        <v>1496</v>
      </c>
    </row>
    <row r="352" spans="1:2" x14ac:dyDescent="0.25">
      <c r="A352" s="28" t="s">
        <v>1497</v>
      </c>
      <c r="B352" s="28" t="s">
        <v>1498</v>
      </c>
    </row>
    <row r="353" spans="1:2" x14ac:dyDescent="0.25">
      <c r="A353" s="28" t="s">
        <v>1499</v>
      </c>
      <c r="B353" s="28" t="s">
        <v>1500</v>
      </c>
    </row>
    <row r="354" spans="1:2" x14ac:dyDescent="0.25">
      <c r="A354" s="28" t="s">
        <v>1501</v>
      </c>
      <c r="B354" s="28" t="s">
        <v>1502</v>
      </c>
    </row>
    <row r="355" spans="1:2" x14ac:dyDescent="0.25">
      <c r="A355" s="28" t="s">
        <v>1503</v>
      </c>
      <c r="B355" s="28" t="s">
        <v>1504</v>
      </c>
    </row>
    <row r="356" spans="1:2" x14ac:dyDescent="0.25">
      <c r="A356" s="28" t="s">
        <v>1505</v>
      </c>
      <c r="B356" s="28" t="s">
        <v>1506</v>
      </c>
    </row>
    <row r="357" spans="1:2" x14ac:dyDescent="0.25">
      <c r="A357" s="28" t="s">
        <v>1507</v>
      </c>
      <c r="B357" s="28" t="s">
        <v>1508</v>
      </c>
    </row>
    <row r="358" spans="1:2" x14ac:dyDescent="0.25">
      <c r="A358" s="28" t="s">
        <v>1509</v>
      </c>
      <c r="B358" s="28" t="s">
        <v>1510</v>
      </c>
    </row>
    <row r="359" spans="1:2" x14ac:dyDescent="0.25">
      <c r="A359" s="28" t="s">
        <v>1511</v>
      </c>
      <c r="B359" s="28" t="s">
        <v>1512</v>
      </c>
    </row>
    <row r="360" spans="1:2" x14ac:dyDescent="0.25">
      <c r="A360" s="28" t="s">
        <v>1513</v>
      </c>
      <c r="B360" s="28" t="s">
        <v>1514</v>
      </c>
    </row>
    <row r="361" spans="1:2" x14ac:dyDescent="0.25">
      <c r="A361" s="28" t="s">
        <v>1515</v>
      </c>
      <c r="B361" s="28" t="s">
        <v>1516</v>
      </c>
    </row>
    <row r="362" spans="1:2" x14ac:dyDescent="0.25">
      <c r="A362" s="28" t="s">
        <v>1517</v>
      </c>
      <c r="B362" s="28" t="s">
        <v>1518</v>
      </c>
    </row>
    <row r="363" spans="1:2" x14ac:dyDescent="0.25">
      <c r="A363" s="28" t="s">
        <v>1519</v>
      </c>
      <c r="B363" s="28" t="s">
        <v>1520</v>
      </c>
    </row>
    <row r="364" spans="1:2" x14ac:dyDescent="0.25">
      <c r="A364" s="28" t="s">
        <v>1521</v>
      </c>
      <c r="B364" s="28" t="s">
        <v>1522</v>
      </c>
    </row>
    <row r="365" spans="1:2" x14ac:dyDescent="0.25">
      <c r="A365" s="28" t="s">
        <v>1523</v>
      </c>
      <c r="B365" s="28" t="s">
        <v>1524</v>
      </c>
    </row>
    <row r="366" spans="1:2" x14ac:dyDescent="0.25">
      <c r="A366" s="28" t="s">
        <v>1525</v>
      </c>
      <c r="B366" s="28" t="s">
        <v>1526</v>
      </c>
    </row>
    <row r="367" spans="1:2" x14ac:dyDescent="0.25">
      <c r="A367" s="28" t="s">
        <v>1527</v>
      </c>
      <c r="B367" s="28" t="s">
        <v>1528</v>
      </c>
    </row>
    <row r="368" spans="1:2" x14ac:dyDescent="0.25">
      <c r="A368" s="28" t="s">
        <v>1529</v>
      </c>
      <c r="B368" s="28" t="s">
        <v>1530</v>
      </c>
    </row>
    <row r="369" spans="1:2" x14ac:dyDescent="0.25">
      <c r="A369" s="28" t="s">
        <v>1531</v>
      </c>
      <c r="B369" s="28" t="s">
        <v>1532</v>
      </c>
    </row>
    <row r="370" spans="1:2" x14ac:dyDescent="0.25">
      <c r="A370" s="28" t="s">
        <v>1533</v>
      </c>
      <c r="B370" s="28" t="s">
        <v>1534</v>
      </c>
    </row>
    <row r="371" spans="1:2" x14ac:dyDescent="0.25">
      <c r="A371" s="28" t="s">
        <v>1535</v>
      </c>
      <c r="B371" s="28" t="s">
        <v>1536</v>
      </c>
    </row>
    <row r="372" spans="1:2" x14ac:dyDescent="0.25">
      <c r="A372" s="28" t="s">
        <v>232</v>
      </c>
      <c r="B372" s="28" t="s">
        <v>1537</v>
      </c>
    </row>
    <row r="373" spans="1:2" x14ac:dyDescent="0.25">
      <c r="A373" s="28" t="s">
        <v>1538</v>
      </c>
      <c r="B373" s="28" t="s">
        <v>1539</v>
      </c>
    </row>
    <row r="374" spans="1:2" x14ac:dyDescent="0.25">
      <c r="A374" s="28" t="s">
        <v>1540</v>
      </c>
      <c r="B374" s="28" t="s">
        <v>1541</v>
      </c>
    </row>
    <row r="375" spans="1:2" x14ac:dyDescent="0.25">
      <c r="A375" s="28" t="s">
        <v>1542</v>
      </c>
      <c r="B375" s="28" t="s">
        <v>1543</v>
      </c>
    </row>
    <row r="376" spans="1:2" x14ac:dyDescent="0.25">
      <c r="A376" s="28" t="s">
        <v>1544</v>
      </c>
      <c r="B376" s="28" t="s">
        <v>1545</v>
      </c>
    </row>
    <row r="377" spans="1:2" x14ac:dyDescent="0.25">
      <c r="A377" s="28" t="s">
        <v>1546</v>
      </c>
      <c r="B377" s="28" t="s">
        <v>1547</v>
      </c>
    </row>
    <row r="378" spans="1:2" x14ac:dyDescent="0.25">
      <c r="A378" s="28" t="s">
        <v>1548</v>
      </c>
      <c r="B378" s="28" t="s">
        <v>1549</v>
      </c>
    </row>
    <row r="379" spans="1:2" x14ac:dyDescent="0.25">
      <c r="A379" s="28" t="s">
        <v>1550</v>
      </c>
      <c r="B379" s="28" t="s">
        <v>1551</v>
      </c>
    </row>
    <row r="380" spans="1:2" x14ac:dyDescent="0.25">
      <c r="A380" s="28" t="s">
        <v>1552</v>
      </c>
      <c r="B380" s="28" t="s">
        <v>1553</v>
      </c>
    </row>
    <row r="381" spans="1:2" x14ac:dyDescent="0.25">
      <c r="A381" s="28" t="s">
        <v>1554</v>
      </c>
      <c r="B381" s="28" t="s">
        <v>1555</v>
      </c>
    </row>
    <row r="382" spans="1:2" x14ac:dyDescent="0.25">
      <c r="A382" s="28" t="s">
        <v>1556</v>
      </c>
      <c r="B382" s="28" t="s">
        <v>1557</v>
      </c>
    </row>
    <row r="383" spans="1:2" x14ac:dyDescent="0.25">
      <c r="A383" s="28" t="s">
        <v>1558</v>
      </c>
      <c r="B383" s="28" t="s">
        <v>1559</v>
      </c>
    </row>
    <row r="384" spans="1:2" x14ac:dyDescent="0.25">
      <c r="A384" s="28" t="s">
        <v>1560</v>
      </c>
      <c r="B384" s="28" t="s">
        <v>1561</v>
      </c>
    </row>
    <row r="385" spans="1:2" x14ac:dyDescent="0.25">
      <c r="A385" s="28" t="s">
        <v>1562</v>
      </c>
      <c r="B385" s="28" t="s">
        <v>1563</v>
      </c>
    </row>
    <row r="386" spans="1:2" x14ac:dyDescent="0.25">
      <c r="A386" s="28" t="s">
        <v>1564</v>
      </c>
      <c r="B386" s="28" t="s">
        <v>1565</v>
      </c>
    </row>
    <row r="387" spans="1:2" x14ac:dyDescent="0.25">
      <c r="A387" s="28" t="s">
        <v>1566</v>
      </c>
      <c r="B387" s="28" t="s">
        <v>1567</v>
      </c>
    </row>
    <row r="388" spans="1:2" x14ac:dyDescent="0.25">
      <c r="A388" s="28" t="s">
        <v>1568</v>
      </c>
      <c r="B388" s="28" t="s">
        <v>1569</v>
      </c>
    </row>
    <row r="389" spans="1:2" x14ac:dyDescent="0.25">
      <c r="A389" s="28" t="s">
        <v>1570</v>
      </c>
      <c r="B389" s="28" t="s">
        <v>1571</v>
      </c>
    </row>
    <row r="390" spans="1:2" x14ac:dyDescent="0.25">
      <c r="A390" s="28" t="s">
        <v>1572</v>
      </c>
      <c r="B390" s="28" t="s">
        <v>1573</v>
      </c>
    </row>
    <row r="391" spans="1:2" x14ac:dyDescent="0.25">
      <c r="A391" s="28" t="s">
        <v>1574</v>
      </c>
      <c r="B391" s="28" t="s">
        <v>1575</v>
      </c>
    </row>
    <row r="392" spans="1:2" x14ac:dyDescent="0.25">
      <c r="A392" s="28" t="s">
        <v>1576</v>
      </c>
      <c r="B392" s="28" t="s">
        <v>1577</v>
      </c>
    </row>
    <row r="393" spans="1:2" x14ac:dyDescent="0.25">
      <c r="A393" s="28" t="s">
        <v>1578</v>
      </c>
      <c r="B393" s="28" t="s">
        <v>1579</v>
      </c>
    </row>
    <row r="394" spans="1:2" x14ac:dyDescent="0.25">
      <c r="A394" s="28" t="s">
        <v>1580</v>
      </c>
      <c r="B394" s="28" t="s">
        <v>1581</v>
      </c>
    </row>
    <row r="395" spans="1:2" x14ac:dyDescent="0.25">
      <c r="A395" s="28" t="s">
        <v>1582</v>
      </c>
      <c r="B395" s="28" t="s">
        <v>1583</v>
      </c>
    </row>
    <row r="396" spans="1:2" x14ac:dyDescent="0.25">
      <c r="A396" s="28" t="s">
        <v>1584</v>
      </c>
      <c r="B396" s="28" t="s">
        <v>1585</v>
      </c>
    </row>
    <row r="397" spans="1:2" x14ac:dyDescent="0.25">
      <c r="A397" s="28" t="s">
        <v>1586</v>
      </c>
      <c r="B397" s="28" t="s">
        <v>1587</v>
      </c>
    </row>
    <row r="398" spans="1:2" x14ac:dyDescent="0.25">
      <c r="A398" s="28" t="s">
        <v>1588</v>
      </c>
      <c r="B398" s="28" t="s">
        <v>1589</v>
      </c>
    </row>
    <row r="399" spans="1:2" x14ac:dyDescent="0.25">
      <c r="A399" s="28" t="s">
        <v>1590</v>
      </c>
      <c r="B399" s="28" t="s">
        <v>1591</v>
      </c>
    </row>
    <row r="400" spans="1:2" x14ac:dyDescent="0.25">
      <c r="A400" s="28" t="s">
        <v>1592</v>
      </c>
      <c r="B400" s="28" t="s">
        <v>1593</v>
      </c>
    </row>
    <row r="401" spans="1:2" x14ac:dyDescent="0.25">
      <c r="A401" s="28" t="s">
        <v>1594</v>
      </c>
      <c r="B401" s="28" t="s">
        <v>1595</v>
      </c>
    </row>
    <row r="402" spans="1:2" x14ac:dyDescent="0.25">
      <c r="A402" s="28" t="s">
        <v>1596</v>
      </c>
      <c r="B402" s="28" t="s">
        <v>1597</v>
      </c>
    </row>
    <row r="403" spans="1:2" x14ac:dyDescent="0.25">
      <c r="A403" s="28" t="s">
        <v>1598</v>
      </c>
      <c r="B403" s="28" t="s">
        <v>1599</v>
      </c>
    </row>
    <row r="404" spans="1:2" x14ac:dyDescent="0.25">
      <c r="A404" s="28" t="s">
        <v>1600</v>
      </c>
      <c r="B404" s="28" t="s">
        <v>1601</v>
      </c>
    </row>
    <row r="405" spans="1:2" x14ac:dyDescent="0.25">
      <c r="A405" s="28" t="s">
        <v>1602</v>
      </c>
      <c r="B405" s="28" t="s">
        <v>1603</v>
      </c>
    </row>
    <row r="406" spans="1:2" x14ac:dyDescent="0.25">
      <c r="A406" s="28" t="s">
        <v>1604</v>
      </c>
      <c r="B406" s="28" t="s">
        <v>1605</v>
      </c>
    </row>
    <row r="407" spans="1:2" x14ac:dyDescent="0.25">
      <c r="A407" s="28" t="s">
        <v>1606</v>
      </c>
      <c r="B407" s="28" t="s">
        <v>1607</v>
      </c>
    </row>
    <row r="408" spans="1:2" x14ac:dyDescent="0.25">
      <c r="A408" s="28" t="s">
        <v>1608</v>
      </c>
      <c r="B408" s="28" t="s">
        <v>1609</v>
      </c>
    </row>
    <row r="409" spans="1:2" x14ac:dyDescent="0.25">
      <c r="A409" s="28" t="s">
        <v>1610</v>
      </c>
      <c r="B409" s="28" t="s">
        <v>1611</v>
      </c>
    </row>
    <row r="410" spans="1:2" x14ac:dyDescent="0.25">
      <c r="A410" s="28" t="s">
        <v>1612</v>
      </c>
      <c r="B410" s="28" t="s">
        <v>1613</v>
      </c>
    </row>
    <row r="411" spans="1:2" x14ac:dyDescent="0.25">
      <c r="A411" s="28" t="s">
        <v>1614</v>
      </c>
      <c r="B411" s="28" t="s">
        <v>1615</v>
      </c>
    </row>
    <row r="412" spans="1:2" x14ac:dyDescent="0.25">
      <c r="A412" s="28" t="s">
        <v>1616</v>
      </c>
      <c r="B412" s="28" t="s">
        <v>1617</v>
      </c>
    </row>
    <row r="413" spans="1:2" x14ac:dyDescent="0.25">
      <c r="A413" s="28" t="s">
        <v>419</v>
      </c>
      <c r="B413" s="28" t="s">
        <v>1618</v>
      </c>
    </row>
    <row r="414" spans="1:2" x14ac:dyDescent="0.25">
      <c r="A414" s="28" t="s">
        <v>1619</v>
      </c>
      <c r="B414" s="28" t="s">
        <v>1620</v>
      </c>
    </row>
    <row r="415" spans="1:2" x14ac:dyDescent="0.25">
      <c r="A415" s="28" t="s">
        <v>1621</v>
      </c>
      <c r="B415" s="28" t="s">
        <v>1622</v>
      </c>
    </row>
    <row r="416" spans="1:2" x14ac:dyDescent="0.25">
      <c r="A416" s="28" t="s">
        <v>1623</v>
      </c>
      <c r="B416" s="28" t="s">
        <v>1624</v>
      </c>
    </row>
    <row r="417" spans="1:2" x14ac:dyDescent="0.25">
      <c r="A417" s="28" t="s">
        <v>1625</v>
      </c>
      <c r="B417" s="28" t="s">
        <v>1626</v>
      </c>
    </row>
    <row r="418" spans="1:2" x14ac:dyDescent="0.25">
      <c r="A418" s="28" t="s">
        <v>1627</v>
      </c>
      <c r="B418" s="28" t="s">
        <v>1628</v>
      </c>
    </row>
    <row r="419" spans="1:2" x14ac:dyDescent="0.25">
      <c r="A419" s="28" t="s">
        <v>1629</v>
      </c>
      <c r="B419" s="28" t="s">
        <v>1630</v>
      </c>
    </row>
    <row r="420" spans="1:2" x14ac:dyDescent="0.25">
      <c r="A420" s="28" t="s">
        <v>1631</v>
      </c>
      <c r="B420" s="28" t="s">
        <v>1632</v>
      </c>
    </row>
    <row r="421" spans="1:2" x14ac:dyDescent="0.25">
      <c r="A421" s="28" t="s">
        <v>1633</v>
      </c>
      <c r="B421" s="28" t="s">
        <v>1634</v>
      </c>
    </row>
    <row r="422" spans="1:2" x14ac:dyDescent="0.25">
      <c r="A422" s="28" t="s">
        <v>1635</v>
      </c>
      <c r="B422" s="28" t="s">
        <v>1636</v>
      </c>
    </row>
    <row r="423" spans="1:2" x14ac:dyDescent="0.25">
      <c r="A423" s="28" t="s">
        <v>1637</v>
      </c>
      <c r="B423" s="28" t="s">
        <v>1638</v>
      </c>
    </row>
    <row r="424" spans="1:2" x14ac:dyDescent="0.25">
      <c r="A424" s="28" t="s">
        <v>1639</v>
      </c>
      <c r="B424" s="28" t="s">
        <v>1640</v>
      </c>
    </row>
    <row r="425" spans="1:2" x14ac:dyDescent="0.25">
      <c r="A425" s="28" t="s">
        <v>1641</v>
      </c>
      <c r="B425" s="28" t="s">
        <v>1642</v>
      </c>
    </row>
    <row r="426" spans="1:2" x14ac:dyDescent="0.25">
      <c r="A426" s="28" t="s">
        <v>1643</v>
      </c>
      <c r="B426" s="28" t="s">
        <v>1644</v>
      </c>
    </row>
    <row r="427" spans="1:2" x14ac:dyDescent="0.25">
      <c r="A427" s="28" t="s">
        <v>1645</v>
      </c>
      <c r="B427" s="28" t="s">
        <v>1646</v>
      </c>
    </row>
    <row r="428" spans="1:2" x14ac:dyDescent="0.25">
      <c r="A428" s="28" t="s">
        <v>1647</v>
      </c>
      <c r="B428" s="28" t="s">
        <v>1648</v>
      </c>
    </row>
    <row r="429" spans="1:2" x14ac:dyDescent="0.25">
      <c r="A429" s="28" t="s">
        <v>1649</v>
      </c>
      <c r="B429" s="28" t="s">
        <v>1650</v>
      </c>
    </row>
    <row r="430" spans="1:2" x14ac:dyDescent="0.25">
      <c r="A430" s="28" t="s">
        <v>1651</v>
      </c>
      <c r="B430" s="28" t="s">
        <v>1652</v>
      </c>
    </row>
    <row r="431" spans="1:2" x14ac:dyDescent="0.25">
      <c r="A431" s="28" t="s">
        <v>26</v>
      </c>
      <c r="B431" s="28" t="s">
        <v>1653</v>
      </c>
    </row>
    <row r="432" spans="1:2" x14ac:dyDescent="0.25">
      <c r="A432" s="28" t="s">
        <v>1654</v>
      </c>
      <c r="B432" s="28" t="s">
        <v>1655</v>
      </c>
    </row>
    <row r="433" spans="1:2" x14ac:dyDescent="0.25">
      <c r="A433" s="28" t="s">
        <v>1656</v>
      </c>
      <c r="B433" s="28" t="s">
        <v>1657</v>
      </c>
    </row>
    <row r="434" spans="1:2" x14ac:dyDescent="0.25">
      <c r="A434" s="28" t="s">
        <v>1658</v>
      </c>
      <c r="B434" s="28" t="s">
        <v>1659</v>
      </c>
    </row>
    <row r="435" spans="1:2" x14ac:dyDescent="0.25">
      <c r="A435" s="28" t="s">
        <v>1660</v>
      </c>
      <c r="B435" s="28" t="s">
        <v>1661</v>
      </c>
    </row>
    <row r="436" spans="1:2" x14ac:dyDescent="0.25">
      <c r="A436" s="28" t="s">
        <v>1662</v>
      </c>
      <c r="B436" s="28" t="s">
        <v>1663</v>
      </c>
    </row>
    <row r="437" spans="1:2" x14ac:dyDescent="0.25">
      <c r="A437" s="28" t="s">
        <v>1664</v>
      </c>
      <c r="B437" s="28" t="s">
        <v>1665</v>
      </c>
    </row>
    <row r="438" spans="1:2" x14ac:dyDescent="0.25">
      <c r="A438" s="28" t="s">
        <v>1666</v>
      </c>
      <c r="B438" s="28" t="s">
        <v>1667</v>
      </c>
    </row>
    <row r="439" spans="1:2" x14ac:dyDescent="0.25">
      <c r="A439" s="28" t="s">
        <v>1668</v>
      </c>
      <c r="B439" s="28" t="s">
        <v>1669</v>
      </c>
    </row>
    <row r="440" spans="1:2" x14ac:dyDescent="0.25">
      <c r="A440" s="28" t="s">
        <v>616</v>
      </c>
      <c r="B440" s="28" t="s">
        <v>1670</v>
      </c>
    </row>
    <row r="441" spans="1:2" x14ac:dyDescent="0.25">
      <c r="A441" s="28" t="s">
        <v>1671</v>
      </c>
      <c r="B441" s="28" t="s">
        <v>1672</v>
      </c>
    </row>
    <row r="442" spans="1:2" x14ac:dyDescent="0.25">
      <c r="A442" s="28" t="s">
        <v>1673</v>
      </c>
      <c r="B442" s="28" t="s">
        <v>1674</v>
      </c>
    </row>
    <row r="443" spans="1:2" x14ac:dyDescent="0.25">
      <c r="A443" s="28" t="s">
        <v>1675</v>
      </c>
      <c r="B443" s="28" t="s">
        <v>1676</v>
      </c>
    </row>
    <row r="444" spans="1:2" x14ac:dyDescent="0.25">
      <c r="A444" s="28" t="s">
        <v>1677</v>
      </c>
      <c r="B444" s="28" t="s">
        <v>1678</v>
      </c>
    </row>
    <row r="445" spans="1:2" x14ac:dyDescent="0.25">
      <c r="A445" s="28" t="s">
        <v>1679</v>
      </c>
      <c r="B445" s="28" t="s">
        <v>1680</v>
      </c>
    </row>
    <row r="446" spans="1:2" x14ac:dyDescent="0.25">
      <c r="A446" s="28" t="s">
        <v>1681</v>
      </c>
      <c r="B446" s="28" t="s">
        <v>1682</v>
      </c>
    </row>
    <row r="447" spans="1:2" x14ac:dyDescent="0.25">
      <c r="A447" s="28" t="s">
        <v>1683</v>
      </c>
      <c r="B447" s="28" t="s">
        <v>1684</v>
      </c>
    </row>
    <row r="448" spans="1:2" x14ac:dyDescent="0.25">
      <c r="A448" s="28" t="s">
        <v>1685</v>
      </c>
      <c r="B448" s="28" t="s">
        <v>1686</v>
      </c>
    </row>
    <row r="449" spans="1:2" x14ac:dyDescent="0.25">
      <c r="A449" s="28" t="s">
        <v>1687</v>
      </c>
      <c r="B449" s="28" t="s">
        <v>1688</v>
      </c>
    </row>
    <row r="450" spans="1:2" x14ac:dyDescent="0.25">
      <c r="A450" s="28" t="s">
        <v>1689</v>
      </c>
      <c r="B450" s="28" t="s">
        <v>1690</v>
      </c>
    </row>
    <row r="451" spans="1:2" x14ac:dyDescent="0.25">
      <c r="A451" s="28" t="s">
        <v>407</v>
      </c>
      <c r="B451" s="28" t="s">
        <v>1691</v>
      </c>
    </row>
    <row r="452" spans="1:2" x14ac:dyDescent="0.25">
      <c r="A452" s="28" t="s">
        <v>1692</v>
      </c>
      <c r="B452" s="28" t="s">
        <v>1693</v>
      </c>
    </row>
    <row r="453" spans="1:2" x14ac:dyDescent="0.25">
      <c r="A453" s="28" t="s">
        <v>1694</v>
      </c>
      <c r="B453" s="28" t="s">
        <v>1695</v>
      </c>
    </row>
    <row r="454" spans="1:2" x14ac:dyDescent="0.25">
      <c r="A454" s="28" t="s">
        <v>1696</v>
      </c>
      <c r="B454" s="28" t="s">
        <v>1697</v>
      </c>
    </row>
    <row r="455" spans="1:2" x14ac:dyDescent="0.25">
      <c r="A455" s="28" t="s">
        <v>1698</v>
      </c>
      <c r="B455" s="28" t="s">
        <v>1699</v>
      </c>
    </row>
    <row r="456" spans="1:2" x14ac:dyDescent="0.25">
      <c r="A456" s="28" t="s">
        <v>1700</v>
      </c>
      <c r="B456" s="28" t="s">
        <v>1701</v>
      </c>
    </row>
    <row r="457" spans="1:2" x14ac:dyDescent="0.25">
      <c r="A457" s="28" t="s">
        <v>1702</v>
      </c>
      <c r="B457" s="28" t="s">
        <v>1703</v>
      </c>
    </row>
    <row r="458" spans="1:2" x14ac:dyDescent="0.25">
      <c r="A458" s="28" t="s">
        <v>1704</v>
      </c>
      <c r="B458" s="28" t="s">
        <v>1705</v>
      </c>
    </row>
    <row r="459" spans="1:2" x14ac:dyDescent="0.25">
      <c r="A459" s="28" t="s">
        <v>1706</v>
      </c>
      <c r="B459" s="28" t="s">
        <v>1707</v>
      </c>
    </row>
    <row r="460" spans="1:2" x14ac:dyDescent="0.25">
      <c r="A460" s="28" t="s">
        <v>1708</v>
      </c>
      <c r="B460" s="28" t="s">
        <v>1709</v>
      </c>
    </row>
    <row r="461" spans="1:2" x14ac:dyDescent="0.25">
      <c r="A461" s="28" t="s">
        <v>1710</v>
      </c>
      <c r="B461" s="28" t="s">
        <v>1711</v>
      </c>
    </row>
    <row r="462" spans="1:2" x14ac:dyDescent="0.25">
      <c r="A462" s="28" t="s">
        <v>1712</v>
      </c>
      <c r="B462" s="28" t="s">
        <v>1713</v>
      </c>
    </row>
    <row r="463" spans="1:2" x14ac:dyDescent="0.25">
      <c r="A463" s="28" t="s">
        <v>1714</v>
      </c>
      <c r="B463" s="28" t="s">
        <v>1715</v>
      </c>
    </row>
    <row r="464" spans="1:2" x14ac:dyDescent="0.25">
      <c r="A464" s="28" t="s">
        <v>1716</v>
      </c>
      <c r="B464" s="28" t="s">
        <v>1717</v>
      </c>
    </row>
    <row r="465" spans="1:2" x14ac:dyDescent="0.25">
      <c r="A465" s="28" t="s">
        <v>1718</v>
      </c>
      <c r="B465" s="28" t="s">
        <v>1719</v>
      </c>
    </row>
    <row r="466" spans="1:2" x14ac:dyDescent="0.25">
      <c r="A466" s="28" t="s">
        <v>1720</v>
      </c>
      <c r="B466" s="28" t="s">
        <v>1721</v>
      </c>
    </row>
    <row r="467" spans="1:2" x14ac:dyDescent="0.25">
      <c r="A467" s="28" t="s">
        <v>1722</v>
      </c>
      <c r="B467" s="28" t="s">
        <v>1723</v>
      </c>
    </row>
    <row r="468" spans="1:2" x14ac:dyDescent="0.25">
      <c r="A468" s="28" t="s">
        <v>1724</v>
      </c>
      <c r="B468" s="28" t="s">
        <v>1725</v>
      </c>
    </row>
    <row r="469" spans="1:2" x14ac:dyDescent="0.25">
      <c r="A469" s="28" t="s">
        <v>1726</v>
      </c>
      <c r="B469" s="28" t="s">
        <v>1727</v>
      </c>
    </row>
    <row r="470" spans="1:2" x14ac:dyDescent="0.25">
      <c r="A470" s="28" t="s">
        <v>1728</v>
      </c>
      <c r="B470" s="28" t="s">
        <v>1729</v>
      </c>
    </row>
    <row r="471" spans="1:2" x14ac:dyDescent="0.25">
      <c r="A471" s="28" t="s">
        <v>1730</v>
      </c>
      <c r="B471" s="28" t="s">
        <v>1731</v>
      </c>
    </row>
    <row r="472" spans="1:2" x14ac:dyDescent="0.25">
      <c r="A472" s="28" t="s">
        <v>1732</v>
      </c>
      <c r="B472" s="28" t="s">
        <v>1733</v>
      </c>
    </row>
    <row r="473" spans="1:2" x14ac:dyDescent="0.25">
      <c r="A473" s="28" t="s">
        <v>1734</v>
      </c>
      <c r="B473" s="28" t="s">
        <v>1735</v>
      </c>
    </row>
    <row r="474" spans="1:2" x14ac:dyDescent="0.25">
      <c r="A474" s="28" t="s">
        <v>1736</v>
      </c>
      <c r="B474" s="28" t="s">
        <v>1737</v>
      </c>
    </row>
    <row r="475" spans="1:2" x14ac:dyDescent="0.25">
      <c r="A475" s="28" t="s">
        <v>1738</v>
      </c>
      <c r="B475" s="28" t="s">
        <v>1739</v>
      </c>
    </row>
    <row r="476" spans="1:2" x14ac:dyDescent="0.25">
      <c r="A476" s="28" t="s">
        <v>1740</v>
      </c>
      <c r="B476" s="28" t="s">
        <v>1741</v>
      </c>
    </row>
    <row r="477" spans="1:2" x14ac:dyDescent="0.25">
      <c r="A477" s="28" t="s">
        <v>1742</v>
      </c>
      <c r="B477" s="28" t="s">
        <v>1743</v>
      </c>
    </row>
    <row r="478" spans="1:2" x14ac:dyDescent="0.25">
      <c r="A478" s="28" t="s">
        <v>1744</v>
      </c>
      <c r="B478" s="28" t="s">
        <v>1745</v>
      </c>
    </row>
    <row r="479" spans="1:2" x14ac:dyDescent="0.25">
      <c r="A479" s="28" t="s">
        <v>1746</v>
      </c>
      <c r="B479" s="28" t="s">
        <v>1747</v>
      </c>
    </row>
    <row r="480" spans="1:2" x14ac:dyDescent="0.25">
      <c r="A480" s="28" t="s">
        <v>1748</v>
      </c>
      <c r="B480" s="28" t="s">
        <v>1749</v>
      </c>
    </row>
    <row r="481" spans="1:2" x14ac:dyDescent="0.25">
      <c r="A481" s="28" t="s">
        <v>1750</v>
      </c>
      <c r="B481" s="28" t="s">
        <v>1751</v>
      </c>
    </row>
    <row r="482" spans="1:2" x14ac:dyDescent="0.25">
      <c r="A482" s="28" t="s">
        <v>1752</v>
      </c>
      <c r="B482" s="28" t="s">
        <v>1753</v>
      </c>
    </row>
    <row r="483" spans="1:2" x14ac:dyDescent="0.25">
      <c r="A483" s="28" t="s">
        <v>1754</v>
      </c>
      <c r="B483" s="28" t="s">
        <v>1755</v>
      </c>
    </row>
    <row r="484" spans="1:2" x14ac:dyDescent="0.25">
      <c r="A484" s="28" t="s">
        <v>1756</v>
      </c>
      <c r="B484" s="28" t="s">
        <v>1757</v>
      </c>
    </row>
    <row r="485" spans="1:2" x14ac:dyDescent="0.25">
      <c r="A485" s="28" t="s">
        <v>1758</v>
      </c>
      <c r="B485" s="28" t="s">
        <v>1759</v>
      </c>
    </row>
    <row r="486" spans="1:2" x14ac:dyDescent="0.25">
      <c r="A486" s="28" t="s">
        <v>1760</v>
      </c>
      <c r="B486" s="28" t="s">
        <v>1761</v>
      </c>
    </row>
    <row r="487" spans="1:2" x14ac:dyDescent="0.25">
      <c r="A487" s="28" t="s">
        <v>1762</v>
      </c>
      <c r="B487" s="28" t="s">
        <v>1763</v>
      </c>
    </row>
    <row r="488" spans="1:2" x14ac:dyDescent="0.25">
      <c r="A488" s="28" t="s">
        <v>1764</v>
      </c>
      <c r="B488" s="28" t="s">
        <v>1765</v>
      </c>
    </row>
    <row r="489" spans="1:2" x14ac:dyDescent="0.25">
      <c r="A489" s="28" t="s">
        <v>275</v>
      </c>
      <c r="B489" s="28" t="s">
        <v>1766</v>
      </c>
    </row>
    <row r="490" spans="1:2" x14ac:dyDescent="0.25">
      <c r="A490" s="28" t="s">
        <v>1767</v>
      </c>
      <c r="B490" s="28" t="s">
        <v>1768</v>
      </c>
    </row>
    <row r="491" spans="1:2" x14ac:dyDescent="0.25">
      <c r="A491" s="28" t="s">
        <v>1769</v>
      </c>
      <c r="B491" s="28" t="s">
        <v>1770</v>
      </c>
    </row>
    <row r="492" spans="1:2" x14ac:dyDescent="0.25">
      <c r="A492" s="28" t="s">
        <v>1771</v>
      </c>
      <c r="B492" s="28" t="s">
        <v>1772</v>
      </c>
    </row>
    <row r="493" spans="1:2" x14ac:dyDescent="0.25">
      <c r="A493" s="28" t="s">
        <v>1773</v>
      </c>
      <c r="B493" s="28" t="s">
        <v>1774</v>
      </c>
    </row>
    <row r="494" spans="1:2" x14ac:dyDescent="0.25">
      <c r="A494" s="28" t="s">
        <v>1775</v>
      </c>
      <c r="B494" s="28" t="s">
        <v>1776</v>
      </c>
    </row>
    <row r="495" spans="1:2" x14ac:dyDescent="0.25">
      <c r="A495" s="28" t="s">
        <v>1777</v>
      </c>
      <c r="B495" s="28" t="s">
        <v>1778</v>
      </c>
    </row>
    <row r="496" spans="1:2" x14ac:dyDescent="0.25">
      <c r="A496" s="28" t="s">
        <v>1779</v>
      </c>
      <c r="B496" s="28" t="s">
        <v>1780</v>
      </c>
    </row>
    <row r="497" spans="1:2" x14ac:dyDescent="0.25">
      <c r="A497" s="28" t="s">
        <v>1781</v>
      </c>
      <c r="B497" s="28" t="s">
        <v>1782</v>
      </c>
    </row>
    <row r="498" spans="1:2" x14ac:dyDescent="0.25">
      <c r="A498" s="28" t="s">
        <v>1783</v>
      </c>
      <c r="B498" s="28" t="s">
        <v>1784</v>
      </c>
    </row>
    <row r="499" spans="1:2" x14ac:dyDescent="0.25">
      <c r="A499" s="28" t="s">
        <v>1785</v>
      </c>
      <c r="B499" s="28" t="s">
        <v>1786</v>
      </c>
    </row>
    <row r="500" spans="1:2" x14ac:dyDescent="0.25">
      <c r="A500" s="28" t="s">
        <v>1787</v>
      </c>
      <c r="B500" s="28" t="s">
        <v>1788</v>
      </c>
    </row>
    <row r="501" spans="1:2" x14ac:dyDescent="0.25">
      <c r="A501" s="28" t="s">
        <v>1789</v>
      </c>
      <c r="B501" s="28" t="s">
        <v>1790</v>
      </c>
    </row>
    <row r="502" spans="1:2" x14ac:dyDescent="0.25">
      <c r="A502" s="28" t="s">
        <v>1791</v>
      </c>
      <c r="B502" s="28" t="s">
        <v>1792</v>
      </c>
    </row>
    <row r="503" spans="1:2" x14ac:dyDescent="0.25">
      <c r="A503" s="28" t="s">
        <v>680</v>
      </c>
      <c r="B503" s="28" t="s">
        <v>1793</v>
      </c>
    </row>
    <row r="504" spans="1:2" x14ac:dyDescent="0.25">
      <c r="A504" s="28" t="s">
        <v>1794</v>
      </c>
      <c r="B504" s="28" t="s">
        <v>1795</v>
      </c>
    </row>
    <row r="505" spans="1:2" x14ac:dyDescent="0.25">
      <c r="A505" s="28" t="s">
        <v>1796</v>
      </c>
      <c r="B505" s="28" t="s">
        <v>1797</v>
      </c>
    </row>
    <row r="506" spans="1:2" x14ac:dyDescent="0.25">
      <c r="A506" s="28" t="s">
        <v>1798</v>
      </c>
      <c r="B506" s="28" t="s">
        <v>1799</v>
      </c>
    </row>
    <row r="507" spans="1:2" x14ac:dyDescent="0.25">
      <c r="A507" s="28" t="s">
        <v>1800</v>
      </c>
      <c r="B507" s="28" t="s">
        <v>1801</v>
      </c>
    </row>
    <row r="508" spans="1:2" x14ac:dyDescent="0.25">
      <c r="A508" s="28" t="s">
        <v>1802</v>
      </c>
      <c r="B508" s="28" t="s">
        <v>1803</v>
      </c>
    </row>
    <row r="509" spans="1:2" x14ac:dyDescent="0.25">
      <c r="A509" s="28" t="s">
        <v>1804</v>
      </c>
      <c r="B509" s="28" t="s">
        <v>1805</v>
      </c>
    </row>
    <row r="510" spans="1:2" x14ac:dyDescent="0.25">
      <c r="A510" s="28" t="s">
        <v>1806</v>
      </c>
      <c r="B510" s="28" t="s">
        <v>1807</v>
      </c>
    </row>
    <row r="511" spans="1:2" x14ac:dyDescent="0.25">
      <c r="A511" s="28" t="s">
        <v>1808</v>
      </c>
      <c r="B511" s="28" t="s">
        <v>1809</v>
      </c>
    </row>
    <row r="512" spans="1:2" x14ac:dyDescent="0.25">
      <c r="A512" s="28" t="s">
        <v>1810</v>
      </c>
      <c r="B512" s="28" t="s">
        <v>1811</v>
      </c>
    </row>
    <row r="513" spans="1:2" x14ac:dyDescent="0.25">
      <c r="A513" s="28" t="s">
        <v>1812</v>
      </c>
      <c r="B513" s="28" t="s">
        <v>1813</v>
      </c>
    </row>
    <row r="514" spans="1:2" x14ac:dyDescent="0.25">
      <c r="A514" s="28" t="s">
        <v>1814</v>
      </c>
      <c r="B514" s="28" t="s">
        <v>1815</v>
      </c>
    </row>
    <row r="515" spans="1:2" x14ac:dyDescent="0.25">
      <c r="A515" s="28" t="s">
        <v>1816</v>
      </c>
      <c r="B515" s="28" t="s">
        <v>1817</v>
      </c>
    </row>
    <row r="516" spans="1:2" x14ac:dyDescent="0.25">
      <c r="A516" s="28" t="s">
        <v>1818</v>
      </c>
      <c r="B516" s="28" t="s">
        <v>1819</v>
      </c>
    </row>
    <row r="517" spans="1:2" x14ac:dyDescent="0.25">
      <c r="A517" s="28" t="s">
        <v>1820</v>
      </c>
      <c r="B517" s="28" t="s">
        <v>1821</v>
      </c>
    </row>
    <row r="518" spans="1:2" x14ac:dyDescent="0.25">
      <c r="A518" s="28" t="s">
        <v>1822</v>
      </c>
      <c r="B518" s="28" t="s">
        <v>1823</v>
      </c>
    </row>
    <row r="519" spans="1:2" x14ac:dyDescent="0.25">
      <c r="A519" s="28" t="s">
        <v>1824</v>
      </c>
      <c r="B519" s="28" t="s">
        <v>1825</v>
      </c>
    </row>
    <row r="520" spans="1:2" x14ac:dyDescent="0.25">
      <c r="A520" s="28" t="s">
        <v>1826</v>
      </c>
      <c r="B520" s="28" t="s">
        <v>1827</v>
      </c>
    </row>
    <row r="521" spans="1:2" x14ac:dyDescent="0.25">
      <c r="A521" s="28" t="s">
        <v>1828</v>
      </c>
      <c r="B521" s="28" t="s">
        <v>1829</v>
      </c>
    </row>
    <row r="522" spans="1:2" x14ac:dyDescent="0.25">
      <c r="A522" s="28" t="s">
        <v>1830</v>
      </c>
      <c r="B522" s="28" t="s">
        <v>1831</v>
      </c>
    </row>
    <row r="523" spans="1:2" x14ac:dyDescent="0.25">
      <c r="A523" s="28" t="s">
        <v>1832</v>
      </c>
      <c r="B523" s="28" t="s">
        <v>1833</v>
      </c>
    </row>
    <row r="524" spans="1:2" x14ac:dyDescent="0.25">
      <c r="A524" s="28" t="s">
        <v>1834</v>
      </c>
      <c r="B524" s="28" t="s">
        <v>1835</v>
      </c>
    </row>
    <row r="525" spans="1:2" x14ac:dyDescent="0.25">
      <c r="A525" s="28" t="s">
        <v>1836</v>
      </c>
      <c r="B525" s="28" t="s">
        <v>1837</v>
      </c>
    </row>
    <row r="526" spans="1:2" x14ac:dyDescent="0.25">
      <c r="A526" s="28" t="s">
        <v>1838</v>
      </c>
      <c r="B526" s="28" t="s">
        <v>1839</v>
      </c>
    </row>
    <row r="527" spans="1:2" x14ac:dyDescent="0.25">
      <c r="A527" s="28" t="s">
        <v>1840</v>
      </c>
      <c r="B527" s="28" t="s">
        <v>1841</v>
      </c>
    </row>
    <row r="528" spans="1:2" x14ac:dyDescent="0.25">
      <c r="A528" s="28" t="s">
        <v>1842</v>
      </c>
      <c r="B528" s="28" t="s">
        <v>1843</v>
      </c>
    </row>
    <row r="529" spans="1:2" x14ac:dyDescent="0.25">
      <c r="A529" s="28" t="s">
        <v>1844</v>
      </c>
      <c r="B529" s="28" t="s">
        <v>1845</v>
      </c>
    </row>
    <row r="530" spans="1:2" x14ac:dyDescent="0.25">
      <c r="A530" s="28" t="s">
        <v>1846</v>
      </c>
      <c r="B530" s="28" t="s">
        <v>1847</v>
      </c>
    </row>
    <row r="531" spans="1:2" x14ac:dyDescent="0.25">
      <c r="A531" s="28" t="s">
        <v>1848</v>
      </c>
      <c r="B531" s="28" t="s">
        <v>1849</v>
      </c>
    </row>
    <row r="532" spans="1:2" x14ac:dyDescent="0.25">
      <c r="A532" s="28" t="s">
        <v>1850</v>
      </c>
      <c r="B532" s="28" t="s">
        <v>1851</v>
      </c>
    </row>
    <row r="533" spans="1:2" x14ac:dyDescent="0.25">
      <c r="A533" s="28" t="s">
        <v>1852</v>
      </c>
      <c r="B533" s="28" t="s">
        <v>1853</v>
      </c>
    </row>
    <row r="534" spans="1:2" x14ac:dyDescent="0.25">
      <c r="A534" s="28" t="s">
        <v>1854</v>
      </c>
      <c r="B534" s="28" t="s">
        <v>1855</v>
      </c>
    </row>
    <row r="535" spans="1:2" x14ac:dyDescent="0.25">
      <c r="A535" s="28" t="s">
        <v>1856</v>
      </c>
      <c r="B535" s="28" t="s">
        <v>1857</v>
      </c>
    </row>
    <row r="536" spans="1:2" x14ac:dyDescent="0.25">
      <c r="A536" s="28" t="s">
        <v>1858</v>
      </c>
      <c r="B536" s="28" t="s">
        <v>1859</v>
      </c>
    </row>
    <row r="537" spans="1:2" x14ac:dyDescent="0.25">
      <c r="A537" s="28" t="s">
        <v>295</v>
      </c>
      <c r="B537" s="28" t="s">
        <v>1860</v>
      </c>
    </row>
    <row r="538" spans="1:2" x14ac:dyDescent="0.25">
      <c r="A538" s="28" t="s">
        <v>1861</v>
      </c>
      <c r="B538" s="28" t="s">
        <v>1862</v>
      </c>
    </row>
    <row r="539" spans="1:2" x14ac:dyDescent="0.25">
      <c r="A539" s="28" t="s">
        <v>1863</v>
      </c>
      <c r="B539" s="28" t="s">
        <v>1864</v>
      </c>
    </row>
    <row r="540" spans="1:2" x14ac:dyDescent="0.25">
      <c r="A540" s="28" t="s">
        <v>1865</v>
      </c>
      <c r="B540" s="28" t="s">
        <v>1866</v>
      </c>
    </row>
    <row r="541" spans="1:2" x14ac:dyDescent="0.25">
      <c r="A541" s="28" t="s">
        <v>1867</v>
      </c>
      <c r="B541" s="28" t="s">
        <v>1868</v>
      </c>
    </row>
    <row r="542" spans="1:2" x14ac:dyDescent="0.25">
      <c r="A542" s="28" t="s">
        <v>1869</v>
      </c>
      <c r="B542" s="28" t="s">
        <v>1870</v>
      </c>
    </row>
    <row r="543" spans="1:2" x14ac:dyDescent="0.25">
      <c r="A543" s="28" t="s">
        <v>1871</v>
      </c>
      <c r="B543" s="28" t="s">
        <v>1872</v>
      </c>
    </row>
    <row r="544" spans="1:2" x14ac:dyDescent="0.25">
      <c r="A544" s="28" t="s">
        <v>1873</v>
      </c>
      <c r="B544" s="28" t="s">
        <v>1874</v>
      </c>
    </row>
    <row r="545" spans="1:2" x14ac:dyDescent="0.25">
      <c r="A545" s="28" t="s">
        <v>442</v>
      </c>
      <c r="B545" s="28" t="s">
        <v>1875</v>
      </c>
    </row>
    <row r="546" spans="1:2" x14ac:dyDescent="0.25">
      <c r="A546" s="28" t="s">
        <v>1876</v>
      </c>
      <c r="B546" s="28" t="s">
        <v>1877</v>
      </c>
    </row>
    <row r="547" spans="1:2" x14ac:dyDescent="0.25">
      <c r="A547" s="28" t="s">
        <v>1878</v>
      </c>
      <c r="B547" s="28" t="s">
        <v>1879</v>
      </c>
    </row>
    <row r="548" spans="1:2" x14ac:dyDescent="0.25">
      <c r="A548" s="28" t="s">
        <v>1880</v>
      </c>
      <c r="B548" s="28" t="s">
        <v>1881</v>
      </c>
    </row>
    <row r="549" spans="1:2" x14ac:dyDescent="0.25">
      <c r="A549" s="28" t="s">
        <v>1882</v>
      </c>
      <c r="B549" s="28" t="s">
        <v>1883</v>
      </c>
    </row>
    <row r="550" spans="1:2" x14ac:dyDescent="0.25">
      <c r="A550" s="28" t="s">
        <v>1884</v>
      </c>
      <c r="B550" s="28" t="s">
        <v>1885</v>
      </c>
    </row>
    <row r="551" spans="1:2" x14ac:dyDescent="0.25">
      <c r="A551" s="28" t="s">
        <v>1886</v>
      </c>
      <c r="B551" s="28" t="s">
        <v>1887</v>
      </c>
    </row>
    <row r="552" spans="1:2" x14ac:dyDescent="0.25">
      <c r="A552" s="28" t="s">
        <v>1888</v>
      </c>
      <c r="B552" s="28" t="s">
        <v>1889</v>
      </c>
    </row>
    <row r="553" spans="1:2" x14ac:dyDescent="0.25">
      <c r="A553" s="28" t="s">
        <v>1890</v>
      </c>
      <c r="B553" s="28" t="s">
        <v>1891</v>
      </c>
    </row>
    <row r="554" spans="1:2" x14ac:dyDescent="0.25">
      <c r="A554" s="28" t="s">
        <v>1892</v>
      </c>
      <c r="B554" s="28" t="s">
        <v>1893</v>
      </c>
    </row>
    <row r="555" spans="1:2" x14ac:dyDescent="0.25">
      <c r="A555" s="28" t="s">
        <v>1894</v>
      </c>
      <c r="B555" s="28" t="s">
        <v>1895</v>
      </c>
    </row>
    <row r="556" spans="1:2" x14ac:dyDescent="0.25">
      <c r="A556" s="28" t="s">
        <v>1896</v>
      </c>
      <c r="B556" s="28" t="s">
        <v>1897</v>
      </c>
    </row>
    <row r="557" spans="1:2" x14ac:dyDescent="0.25">
      <c r="A557" s="28" t="s">
        <v>1898</v>
      </c>
      <c r="B557" s="28" t="s">
        <v>1899</v>
      </c>
    </row>
    <row r="558" spans="1:2" x14ac:dyDescent="0.25">
      <c r="A558" s="28" t="s">
        <v>1900</v>
      </c>
      <c r="B558" s="28" t="s">
        <v>1901</v>
      </c>
    </row>
    <row r="559" spans="1:2" x14ac:dyDescent="0.25">
      <c r="A559" s="28" t="s">
        <v>1902</v>
      </c>
      <c r="B559" s="28" t="s">
        <v>1903</v>
      </c>
    </row>
    <row r="560" spans="1:2" x14ac:dyDescent="0.25">
      <c r="A560" s="28" t="s">
        <v>1904</v>
      </c>
      <c r="B560" s="28" t="s">
        <v>1905</v>
      </c>
    </row>
    <row r="561" spans="1:2" x14ac:dyDescent="0.25">
      <c r="A561" s="28" t="s">
        <v>1906</v>
      </c>
      <c r="B561" s="28" t="s">
        <v>1907</v>
      </c>
    </row>
    <row r="562" spans="1:2" x14ac:dyDescent="0.25">
      <c r="A562" s="28" t="s">
        <v>1908</v>
      </c>
      <c r="B562" s="28" t="s">
        <v>1909</v>
      </c>
    </row>
    <row r="563" spans="1:2" x14ac:dyDescent="0.25">
      <c r="A563" s="28" t="s">
        <v>1910</v>
      </c>
      <c r="B563" s="28" t="s">
        <v>1911</v>
      </c>
    </row>
    <row r="564" spans="1:2" x14ac:dyDescent="0.25">
      <c r="A564" s="28" t="s">
        <v>1912</v>
      </c>
      <c r="B564" s="28" t="s">
        <v>1913</v>
      </c>
    </row>
    <row r="565" spans="1:2" x14ac:dyDescent="0.25">
      <c r="A565" s="28" t="s">
        <v>1914</v>
      </c>
      <c r="B565" s="28" t="s">
        <v>1915</v>
      </c>
    </row>
    <row r="566" spans="1:2" x14ac:dyDescent="0.25">
      <c r="A566" s="28" t="s">
        <v>1916</v>
      </c>
      <c r="B566" s="28" t="s">
        <v>1917</v>
      </c>
    </row>
    <row r="567" spans="1:2" x14ac:dyDescent="0.25">
      <c r="A567" s="28" t="s">
        <v>1918</v>
      </c>
      <c r="B567" s="28" t="s">
        <v>1919</v>
      </c>
    </row>
    <row r="568" spans="1:2" x14ac:dyDescent="0.25">
      <c r="A568" s="28" t="s">
        <v>1920</v>
      </c>
      <c r="B568" s="28" t="s">
        <v>1921</v>
      </c>
    </row>
    <row r="569" spans="1:2" x14ac:dyDescent="0.25">
      <c r="A569" s="28" t="s">
        <v>1922</v>
      </c>
      <c r="B569" s="28" t="s">
        <v>1923</v>
      </c>
    </row>
    <row r="570" spans="1:2" x14ac:dyDescent="0.25">
      <c r="A570" s="28" t="s">
        <v>1924</v>
      </c>
      <c r="B570" s="28" t="s">
        <v>1925</v>
      </c>
    </row>
    <row r="571" spans="1:2" x14ac:dyDescent="0.25">
      <c r="A571" s="28" t="s">
        <v>1926</v>
      </c>
      <c r="B571" s="28" t="s">
        <v>1927</v>
      </c>
    </row>
    <row r="572" spans="1:2" x14ac:dyDescent="0.25">
      <c r="A572" s="28" t="s">
        <v>135</v>
      </c>
      <c r="B572" s="28" t="s">
        <v>1928</v>
      </c>
    </row>
    <row r="573" spans="1:2" x14ac:dyDescent="0.25">
      <c r="A573" s="28" t="s">
        <v>1929</v>
      </c>
      <c r="B573" s="28" t="s">
        <v>1930</v>
      </c>
    </row>
    <row r="574" spans="1:2" x14ac:dyDescent="0.25">
      <c r="A574" s="28" t="s">
        <v>1931</v>
      </c>
      <c r="B574" s="28" t="s">
        <v>1932</v>
      </c>
    </row>
    <row r="575" spans="1:2" x14ac:dyDescent="0.25">
      <c r="A575" s="28" t="s">
        <v>1933</v>
      </c>
      <c r="B575" s="28" t="s">
        <v>1934</v>
      </c>
    </row>
    <row r="576" spans="1:2" x14ac:dyDescent="0.25">
      <c r="A576" s="28" t="s">
        <v>1935</v>
      </c>
      <c r="B576" s="28" t="s">
        <v>1936</v>
      </c>
    </row>
    <row r="577" spans="1:2" x14ac:dyDescent="0.25">
      <c r="A577" s="28" t="s">
        <v>1937</v>
      </c>
      <c r="B577" s="28" t="s">
        <v>1938</v>
      </c>
    </row>
    <row r="578" spans="1:2" x14ac:dyDescent="0.25">
      <c r="A578" s="28" t="s">
        <v>589</v>
      </c>
      <c r="B578" s="28" t="s">
        <v>1939</v>
      </c>
    </row>
    <row r="579" spans="1:2" x14ac:dyDescent="0.25">
      <c r="A579" s="28" t="s">
        <v>1940</v>
      </c>
      <c r="B579" s="28" t="s">
        <v>1941</v>
      </c>
    </row>
    <row r="580" spans="1:2" x14ac:dyDescent="0.25">
      <c r="A580" s="28" t="s">
        <v>1942</v>
      </c>
      <c r="B580" s="28" t="s">
        <v>1943</v>
      </c>
    </row>
    <row r="581" spans="1:2" x14ac:dyDescent="0.25">
      <c r="A581" s="28" t="s">
        <v>1944</v>
      </c>
      <c r="B581" s="28" t="s">
        <v>1945</v>
      </c>
    </row>
    <row r="582" spans="1:2" x14ac:dyDescent="0.25">
      <c r="A582" s="28" t="s">
        <v>1946</v>
      </c>
      <c r="B582" s="28" t="s">
        <v>1947</v>
      </c>
    </row>
    <row r="583" spans="1:2" x14ac:dyDescent="0.25">
      <c r="A583" s="28" t="s">
        <v>1948</v>
      </c>
      <c r="B583" s="28" t="s">
        <v>1949</v>
      </c>
    </row>
    <row r="584" spans="1:2" x14ac:dyDescent="0.25">
      <c r="A584" s="28" t="s">
        <v>1950</v>
      </c>
      <c r="B584" s="28" t="s">
        <v>1951</v>
      </c>
    </row>
    <row r="585" spans="1:2" x14ac:dyDescent="0.25">
      <c r="A585" s="28" t="s">
        <v>1952</v>
      </c>
      <c r="B585" s="28" t="s">
        <v>1953</v>
      </c>
    </row>
    <row r="586" spans="1:2" x14ac:dyDescent="0.25">
      <c r="A586" s="28" t="s">
        <v>1954</v>
      </c>
      <c r="B586" s="28" t="s">
        <v>1955</v>
      </c>
    </row>
    <row r="587" spans="1:2" x14ac:dyDescent="0.25">
      <c r="A587" s="28" t="s">
        <v>1956</v>
      </c>
      <c r="B587" s="28" t="s">
        <v>1957</v>
      </c>
    </row>
    <row r="588" spans="1:2" x14ac:dyDescent="0.25">
      <c r="A588" s="28" t="s">
        <v>1958</v>
      </c>
      <c r="B588" s="28" t="s">
        <v>1959</v>
      </c>
    </row>
    <row r="589" spans="1:2" x14ac:dyDescent="0.25">
      <c r="A589" s="28" t="s">
        <v>1960</v>
      </c>
      <c r="B589" s="28" t="s">
        <v>1961</v>
      </c>
    </row>
    <row r="590" spans="1:2" x14ac:dyDescent="0.25">
      <c r="A590" s="28" t="s">
        <v>1962</v>
      </c>
      <c r="B590" s="28" t="s">
        <v>1963</v>
      </c>
    </row>
    <row r="591" spans="1:2" x14ac:dyDescent="0.25">
      <c r="A591" s="28" t="s">
        <v>1964</v>
      </c>
      <c r="B591" s="28" t="s">
        <v>1965</v>
      </c>
    </row>
    <row r="592" spans="1:2" x14ac:dyDescent="0.25">
      <c r="A592" s="28" t="s">
        <v>1966</v>
      </c>
      <c r="B592" s="28" t="s">
        <v>1967</v>
      </c>
    </row>
    <row r="593" spans="1:2" x14ac:dyDescent="0.25">
      <c r="A593" s="28" t="s">
        <v>1968</v>
      </c>
      <c r="B593" s="28" t="s">
        <v>1969</v>
      </c>
    </row>
    <row r="594" spans="1:2" x14ac:dyDescent="0.25">
      <c r="A594" s="28" t="s">
        <v>1970</v>
      </c>
      <c r="B594" s="28" t="s">
        <v>1971</v>
      </c>
    </row>
    <row r="595" spans="1:2" x14ac:dyDescent="0.25">
      <c r="A595" s="28" t="s">
        <v>1972</v>
      </c>
      <c r="B595" s="28" t="s">
        <v>1973</v>
      </c>
    </row>
    <row r="596" spans="1:2" x14ac:dyDescent="0.25">
      <c r="A596" s="28" t="s">
        <v>43</v>
      </c>
      <c r="B596" s="28" t="s">
        <v>1974</v>
      </c>
    </row>
    <row r="597" spans="1:2" x14ac:dyDescent="0.25">
      <c r="A597" s="28" t="s">
        <v>1975</v>
      </c>
      <c r="B597" s="28" t="s">
        <v>1976</v>
      </c>
    </row>
    <row r="598" spans="1:2" x14ac:dyDescent="0.25">
      <c r="A598" s="28" t="s">
        <v>1977</v>
      </c>
      <c r="B598" s="28" t="s">
        <v>1978</v>
      </c>
    </row>
    <row r="599" spans="1:2" x14ac:dyDescent="0.25">
      <c r="A599" s="28" t="s">
        <v>1979</v>
      </c>
      <c r="B599" s="28" t="s">
        <v>1980</v>
      </c>
    </row>
    <row r="600" spans="1:2" x14ac:dyDescent="0.25">
      <c r="A600" s="28" t="s">
        <v>1981</v>
      </c>
      <c r="B600" s="28" t="s">
        <v>1982</v>
      </c>
    </row>
    <row r="601" spans="1:2" x14ac:dyDescent="0.25">
      <c r="A601" s="28" t="s">
        <v>396</v>
      </c>
      <c r="B601" s="28" t="s">
        <v>1983</v>
      </c>
    </row>
    <row r="602" spans="1:2" x14ac:dyDescent="0.25">
      <c r="A602" s="28" t="s">
        <v>1984</v>
      </c>
      <c r="B602" s="28" t="s">
        <v>1985</v>
      </c>
    </row>
    <row r="603" spans="1:2" x14ac:dyDescent="0.25">
      <c r="A603" s="28" t="s">
        <v>1986</v>
      </c>
      <c r="B603" s="28" t="s">
        <v>1987</v>
      </c>
    </row>
    <row r="604" spans="1:2" x14ac:dyDescent="0.25">
      <c r="A604" s="28" t="s">
        <v>1988</v>
      </c>
      <c r="B604" s="28" t="s">
        <v>1989</v>
      </c>
    </row>
    <row r="605" spans="1:2" x14ac:dyDescent="0.25">
      <c r="A605" s="28" t="s">
        <v>1990</v>
      </c>
      <c r="B605" s="28" t="s">
        <v>1991</v>
      </c>
    </row>
    <row r="606" spans="1:2" x14ac:dyDescent="0.25">
      <c r="A606" s="28" t="s">
        <v>1992</v>
      </c>
      <c r="B606" s="28" t="s">
        <v>1993</v>
      </c>
    </row>
    <row r="607" spans="1:2" x14ac:dyDescent="0.25">
      <c r="A607" s="28" t="s">
        <v>1994</v>
      </c>
      <c r="B607" s="28" t="s">
        <v>1995</v>
      </c>
    </row>
    <row r="608" spans="1:2" x14ac:dyDescent="0.25">
      <c r="A608" s="28" t="s">
        <v>1996</v>
      </c>
      <c r="B608" s="28" t="s">
        <v>1997</v>
      </c>
    </row>
    <row r="609" spans="1:2" x14ac:dyDescent="0.25">
      <c r="A609" s="28" t="s">
        <v>1998</v>
      </c>
      <c r="B609" s="28" t="s">
        <v>1999</v>
      </c>
    </row>
    <row r="610" spans="1:2" x14ac:dyDescent="0.25">
      <c r="A610" s="28" t="s">
        <v>2000</v>
      </c>
      <c r="B610" s="28" t="s">
        <v>2001</v>
      </c>
    </row>
    <row r="611" spans="1:2" x14ac:dyDescent="0.25">
      <c r="A611" s="28" t="s">
        <v>2002</v>
      </c>
      <c r="B611" s="28" t="s">
        <v>2003</v>
      </c>
    </row>
    <row r="612" spans="1:2" x14ac:dyDescent="0.25">
      <c r="A612" s="28" t="s">
        <v>2004</v>
      </c>
      <c r="B612" s="28" t="s">
        <v>2005</v>
      </c>
    </row>
    <row r="613" spans="1:2" x14ac:dyDescent="0.25">
      <c r="A613" s="28" t="s">
        <v>40</v>
      </c>
      <c r="B613" s="28" t="s">
        <v>2006</v>
      </c>
    </row>
    <row r="614" spans="1:2" x14ac:dyDescent="0.25">
      <c r="A614" s="28" t="s">
        <v>2007</v>
      </c>
      <c r="B614" s="28" t="s">
        <v>2008</v>
      </c>
    </row>
    <row r="615" spans="1:2" x14ac:dyDescent="0.25">
      <c r="A615" s="28" t="s">
        <v>2009</v>
      </c>
      <c r="B615" s="28" t="s">
        <v>2010</v>
      </c>
    </row>
    <row r="616" spans="1:2" x14ac:dyDescent="0.25">
      <c r="A616" s="28" t="s">
        <v>2011</v>
      </c>
      <c r="B616" s="28" t="s">
        <v>2012</v>
      </c>
    </row>
    <row r="617" spans="1:2" x14ac:dyDescent="0.25">
      <c r="A617" s="28" t="s">
        <v>2013</v>
      </c>
      <c r="B617" s="28" t="s">
        <v>2014</v>
      </c>
    </row>
    <row r="618" spans="1:2" x14ac:dyDescent="0.25">
      <c r="A618" s="28" t="s">
        <v>2015</v>
      </c>
      <c r="B618" s="28" t="s">
        <v>2016</v>
      </c>
    </row>
    <row r="619" spans="1:2" x14ac:dyDescent="0.25">
      <c r="A619" s="28" t="s">
        <v>2017</v>
      </c>
      <c r="B619" s="28" t="s">
        <v>2018</v>
      </c>
    </row>
    <row r="620" spans="1:2" x14ac:dyDescent="0.25">
      <c r="A620" s="28" t="s">
        <v>2019</v>
      </c>
      <c r="B620" s="28" t="s">
        <v>2020</v>
      </c>
    </row>
    <row r="621" spans="1:2" x14ac:dyDescent="0.25">
      <c r="A621" s="28" t="s">
        <v>2021</v>
      </c>
      <c r="B621" s="28" t="s">
        <v>2022</v>
      </c>
    </row>
    <row r="622" spans="1:2" x14ac:dyDescent="0.25">
      <c r="A622" s="28" t="s">
        <v>2023</v>
      </c>
      <c r="B622" s="28" t="s">
        <v>2024</v>
      </c>
    </row>
    <row r="623" spans="1:2" x14ac:dyDescent="0.25">
      <c r="A623" s="28" t="s">
        <v>2025</v>
      </c>
      <c r="B623" s="28" t="s">
        <v>2026</v>
      </c>
    </row>
    <row r="624" spans="1:2" x14ac:dyDescent="0.25">
      <c r="A624" s="28" t="s">
        <v>2027</v>
      </c>
      <c r="B624" s="28" t="s">
        <v>2028</v>
      </c>
    </row>
    <row r="625" spans="1:2" x14ac:dyDescent="0.25">
      <c r="A625" s="28" t="s">
        <v>2029</v>
      </c>
      <c r="B625" s="28" t="s">
        <v>2030</v>
      </c>
    </row>
    <row r="626" spans="1:2" x14ac:dyDescent="0.25">
      <c r="A626" s="28" t="s">
        <v>2031</v>
      </c>
      <c r="B626" s="28" t="s">
        <v>2032</v>
      </c>
    </row>
    <row r="627" spans="1:2" x14ac:dyDescent="0.25">
      <c r="A627" s="28" t="s">
        <v>2033</v>
      </c>
      <c r="B627" s="28" t="s">
        <v>2034</v>
      </c>
    </row>
    <row r="628" spans="1:2" x14ac:dyDescent="0.25">
      <c r="A628" s="28" t="s">
        <v>2035</v>
      </c>
      <c r="B628" s="28" t="s">
        <v>2036</v>
      </c>
    </row>
    <row r="629" spans="1:2" x14ac:dyDescent="0.25">
      <c r="A629" s="28" t="s">
        <v>2037</v>
      </c>
      <c r="B629" s="28" t="s">
        <v>2038</v>
      </c>
    </row>
    <row r="630" spans="1:2" x14ac:dyDescent="0.25">
      <c r="A630" s="28" t="s">
        <v>2039</v>
      </c>
      <c r="B630" s="28" t="s">
        <v>2040</v>
      </c>
    </row>
    <row r="631" spans="1:2" x14ac:dyDescent="0.25">
      <c r="A631" s="28" t="s">
        <v>2041</v>
      </c>
      <c r="B631" s="28" t="s">
        <v>2042</v>
      </c>
    </row>
    <row r="632" spans="1:2" x14ac:dyDescent="0.25">
      <c r="A632" s="28" t="s">
        <v>2043</v>
      </c>
      <c r="B632" s="28" t="s">
        <v>2044</v>
      </c>
    </row>
    <row r="633" spans="1:2" x14ac:dyDescent="0.25">
      <c r="A633" s="28" t="s">
        <v>2045</v>
      </c>
      <c r="B633" s="28" t="s">
        <v>2046</v>
      </c>
    </row>
    <row r="634" spans="1:2" x14ac:dyDescent="0.25">
      <c r="A634" s="28" t="s">
        <v>2047</v>
      </c>
      <c r="B634" s="28" t="s">
        <v>2048</v>
      </c>
    </row>
    <row r="635" spans="1:2" x14ac:dyDescent="0.25">
      <c r="A635" s="28" t="s">
        <v>2049</v>
      </c>
      <c r="B635" s="28" t="s">
        <v>2050</v>
      </c>
    </row>
    <row r="636" spans="1:2" x14ac:dyDescent="0.25">
      <c r="A636" s="28" t="s">
        <v>2051</v>
      </c>
      <c r="B636" s="28" t="s">
        <v>2052</v>
      </c>
    </row>
    <row r="637" spans="1:2" x14ac:dyDescent="0.25">
      <c r="A637" s="28" t="s">
        <v>2053</v>
      </c>
      <c r="B637" s="28" t="s">
        <v>2054</v>
      </c>
    </row>
    <row r="638" spans="1:2" x14ac:dyDescent="0.25">
      <c r="A638" s="28" t="s">
        <v>2055</v>
      </c>
      <c r="B638" s="28" t="s">
        <v>2056</v>
      </c>
    </row>
    <row r="639" spans="1:2" x14ac:dyDescent="0.25">
      <c r="A639" s="28" t="s">
        <v>2057</v>
      </c>
      <c r="B639" s="28" t="s">
        <v>2058</v>
      </c>
    </row>
    <row r="640" spans="1:2" x14ac:dyDescent="0.25">
      <c r="A640" s="28" t="s">
        <v>2059</v>
      </c>
      <c r="B640" s="28" t="s">
        <v>2060</v>
      </c>
    </row>
    <row r="641" spans="1:2" x14ac:dyDescent="0.25">
      <c r="A641" s="28" t="s">
        <v>2061</v>
      </c>
      <c r="B641" s="28" t="s">
        <v>2062</v>
      </c>
    </row>
    <row r="642" spans="1:2" x14ac:dyDescent="0.25">
      <c r="A642" s="28" t="s">
        <v>2063</v>
      </c>
      <c r="B642" s="28" t="s">
        <v>2064</v>
      </c>
    </row>
    <row r="643" spans="1:2" x14ac:dyDescent="0.25">
      <c r="A643" s="28" t="s">
        <v>2065</v>
      </c>
      <c r="B643" s="28" t="s">
        <v>2066</v>
      </c>
    </row>
    <row r="644" spans="1:2" x14ac:dyDescent="0.25">
      <c r="A644" s="28" t="s">
        <v>2067</v>
      </c>
      <c r="B644" s="28" t="s">
        <v>2068</v>
      </c>
    </row>
    <row r="645" spans="1:2" x14ac:dyDescent="0.25">
      <c r="A645" s="28" t="s">
        <v>2069</v>
      </c>
      <c r="B645" s="28" t="s">
        <v>2070</v>
      </c>
    </row>
    <row r="646" spans="1:2" x14ac:dyDescent="0.25">
      <c r="A646" s="28" t="s">
        <v>2071</v>
      </c>
      <c r="B646" s="28" t="s">
        <v>2072</v>
      </c>
    </row>
    <row r="647" spans="1:2" x14ac:dyDescent="0.25">
      <c r="A647" s="28" t="s">
        <v>2073</v>
      </c>
      <c r="B647" s="28" t="s">
        <v>2074</v>
      </c>
    </row>
    <row r="648" spans="1:2" x14ac:dyDescent="0.25">
      <c r="A648" s="28" t="s">
        <v>2075</v>
      </c>
      <c r="B648" s="28" t="s">
        <v>2076</v>
      </c>
    </row>
    <row r="649" spans="1:2" x14ac:dyDescent="0.25">
      <c r="A649" s="28" t="s">
        <v>2077</v>
      </c>
      <c r="B649" s="28" t="s">
        <v>2078</v>
      </c>
    </row>
    <row r="650" spans="1:2" x14ac:dyDescent="0.25">
      <c r="A650" s="28" t="s">
        <v>2079</v>
      </c>
      <c r="B650" s="28" t="s">
        <v>2080</v>
      </c>
    </row>
    <row r="651" spans="1:2" x14ac:dyDescent="0.25">
      <c r="A651" s="28" t="s">
        <v>2081</v>
      </c>
      <c r="B651" s="28" t="s">
        <v>2082</v>
      </c>
    </row>
    <row r="652" spans="1:2" x14ac:dyDescent="0.25">
      <c r="A652" s="28" t="s">
        <v>2083</v>
      </c>
      <c r="B652" s="28" t="s">
        <v>2084</v>
      </c>
    </row>
    <row r="653" spans="1:2" x14ac:dyDescent="0.25">
      <c r="A653" s="28" t="s">
        <v>2085</v>
      </c>
      <c r="B653" s="28" t="s">
        <v>2086</v>
      </c>
    </row>
    <row r="654" spans="1:2" x14ac:dyDescent="0.25">
      <c r="A654" s="28" t="s">
        <v>2087</v>
      </c>
      <c r="B654" s="28" t="s">
        <v>2088</v>
      </c>
    </row>
    <row r="655" spans="1:2" x14ac:dyDescent="0.25">
      <c r="A655" s="28" t="s">
        <v>2089</v>
      </c>
      <c r="B655" s="28" t="s">
        <v>2090</v>
      </c>
    </row>
    <row r="656" spans="1:2" x14ac:dyDescent="0.25">
      <c r="A656" s="28" t="s">
        <v>2091</v>
      </c>
      <c r="B656" s="28" t="s">
        <v>2092</v>
      </c>
    </row>
    <row r="657" spans="1:2" x14ac:dyDescent="0.25">
      <c r="A657" s="28" t="s">
        <v>2093</v>
      </c>
      <c r="B657" s="28" t="s">
        <v>2094</v>
      </c>
    </row>
    <row r="658" spans="1:2" x14ac:dyDescent="0.25">
      <c r="A658" s="28" t="s">
        <v>2095</v>
      </c>
      <c r="B658" s="28" t="s">
        <v>2096</v>
      </c>
    </row>
    <row r="659" spans="1:2" x14ac:dyDescent="0.25">
      <c r="A659" s="28" t="s">
        <v>2097</v>
      </c>
      <c r="B659" s="28" t="s">
        <v>2098</v>
      </c>
    </row>
    <row r="660" spans="1:2" x14ac:dyDescent="0.25">
      <c r="A660" s="28" t="s">
        <v>2099</v>
      </c>
      <c r="B660" s="28" t="s">
        <v>2100</v>
      </c>
    </row>
    <row r="661" spans="1:2" x14ac:dyDescent="0.25">
      <c r="A661" s="28" t="s">
        <v>2101</v>
      </c>
      <c r="B661" s="28" t="s">
        <v>2102</v>
      </c>
    </row>
    <row r="662" spans="1:2" x14ac:dyDescent="0.25">
      <c r="A662" s="28" t="s">
        <v>2103</v>
      </c>
      <c r="B662" s="28" t="s">
        <v>2104</v>
      </c>
    </row>
    <row r="663" spans="1:2" x14ac:dyDescent="0.25">
      <c r="A663" s="28" t="s">
        <v>569</v>
      </c>
      <c r="B663" s="28" t="s">
        <v>2105</v>
      </c>
    </row>
    <row r="664" spans="1:2" x14ac:dyDescent="0.25">
      <c r="A664" s="28" t="s">
        <v>2106</v>
      </c>
      <c r="B664" s="28" t="s">
        <v>2107</v>
      </c>
    </row>
    <row r="665" spans="1:2" x14ac:dyDescent="0.25">
      <c r="A665" s="28" t="s">
        <v>2108</v>
      </c>
      <c r="B665" s="28" t="s">
        <v>2109</v>
      </c>
    </row>
    <row r="666" spans="1:2" x14ac:dyDescent="0.25">
      <c r="A666" s="28" t="s">
        <v>595</v>
      </c>
      <c r="B666" s="28" t="s">
        <v>2110</v>
      </c>
    </row>
    <row r="667" spans="1:2" x14ac:dyDescent="0.25">
      <c r="A667" s="28" t="s">
        <v>2111</v>
      </c>
      <c r="B667" s="28" t="s">
        <v>2112</v>
      </c>
    </row>
    <row r="668" spans="1:2" x14ac:dyDescent="0.25">
      <c r="A668" s="28" t="s">
        <v>2113</v>
      </c>
      <c r="B668" s="28" t="s">
        <v>2114</v>
      </c>
    </row>
    <row r="669" spans="1:2" x14ac:dyDescent="0.25">
      <c r="A669" s="28" t="s">
        <v>2115</v>
      </c>
      <c r="B669" s="28" t="s">
        <v>2116</v>
      </c>
    </row>
    <row r="670" spans="1:2" x14ac:dyDescent="0.25">
      <c r="A670" s="28" t="s">
        <v>2117</v>
      </c>
      <c r="B670" s="28" t="s">
        <v>2118</v>
      </c>
    </row>
    <row r="671" spans="1:2" x14ac:dyDescent="0.25">
      <c r="A671" s="28" t="s">
        <v>2119</v>
      </c>
      <c r="B671" s="28" t="s">
        <v>2120</v>
      </c>
    </row>
    <row r="672" spans="1:2" x14ac:dyDescent="0.25">
      <c r="A672" s="28" t="s">
        <v>2121</v>
      </c>
      <c r="B672" s="28" t="s">
        <v>2122</v>
      </c>
    </row>
    <row r="673" spans="1:2" x14ac:dyDescent="0.25">
      <c r="A673" s="28" t="s">
        <v>2123</v>
      </c>
      <c r="B673" s="28" t="s">
        <v>2124</v>
      </c>
    </row>
    <row r="674" spans="1:2" x14ac:dyDescent="0.25">
      <c r="A674" s="28" t="s">
        <v>261</v>
      </c>
      <c r="B674" s="28" t="s">
        <v>2125</v>
      </c>
    </row>
    <row r="675" spans="1:2" x14ac:dyDescent="0.25">
      <c r="A675" s="28" t="s">
        <v>2126</v>
      </c>
      <c r="B675" s="28" t="s">
        <v>2127</v>
      </c>
    </row>
    <row r="676" spans="1:2" x14ac:dyDescent="0.25">
      <c r="A676" s="28" t="s">
        <v>2128</v>
      </c>
      <c r="B676" s="28" t="s">
        <v>2129</v>
      </c>
    </row>
    <row r="677" spans="1:2" x14ac:dyDescent="0.25">
      <c r="A677" s="28" t="s">
        <v>459</v>
      </c>
      <c r="B677" s="28" t="s">
        <v>2130</v>
      </c>
    </row>
    <row r="678" spans="1:2" x14ac:dyDescent="0.25">
      <c r="A678" s="28" t="s">
        <v>2131</v>
      </c>
      <c r="B678" s="28" t="s">
        <v>2132</v>
      </c>
    </row>
    <row r="679" spans="1:2" x14ac:dyDescent="0.25">
      <c r="A679" s="28" t="s">
        <v>2133</v>
      </c>
      <c r="B679" s="28" t="s">
        <v>2134</v>
      </c>
    </row>
    <row r="680" spans="1:2" x14ac:dyDescent="0.25">
      <c r="A680" s="28" t="s">
        <v>2135</v>
      </c>
      <c r="B680" s="28" t="s">
        <v>2136</v>
      </c>
    </row>
    <row r="681" spans="1:2" x14ac:dyDescent="0.25">
      <c r="A681" s="28" t="s">
        <v>2137</v>
      </c>
      <c r="B681" s="28" t="s">
        <v>2138</v>
      </c>
    </row>
    <row r="682" spans="1:2" x14ac:dyDescent="0.25">
      <c r="A682" s="28" t="s">
        <v>2139</v>
      </c>
      <c r="B682" s="28" t="s">
        <v>2140</v>
      </c>
    </row>
    <row r="683" spans="1:2" x14ac:dyDescent="0.25">
      <c r="A683" s="28" t="s">
        <v>2141</v>
      </c>
      <c r="B683" s="28" t="s">
        <v>2142</v>
      </c>
    </row>
    <row r="684" spans="1:2" x14ac:dyDescent="0.25">
      <c r="A684" s="28" t="s">
        <v>2143</v>
      </c>
      <c r="B684" s="28" t="s">
        <v>2144</v>
      </c>
    </row>
    <row r="685" spans="1:2" x14ac:dyDescent="0.25">
      <c r="A685" s="28" t="s">
        <v>2145</v>
      </c>
      <c r="B685" s="28" t="s">
        <v>2146</v>
      </c>
    </row>
    <row r="686" spans="1:2" x14ac:dyDescent="0.25">
      <c r="A686" s="28" t="s">
        <v>2147</v>
      </c>
      <c r="B686" s="28" t="s">
        <v>2148</v>
      </c>
    </row>
    <row r="687" spans="1:2" x14ac:dyDescent="0.25">
      <c r="A687" s="28" t="s">
        <v>2149</v>
      </c>
      <c r="B687" s="28" t="s">
        <v>2150</v>
      </c>
    </row>
    <row r="688" spans="1:2" x14ac:dyDescent="0.25">
      <c r="A688" s="28" t="s">
        <v>2151</v>
      </c>
      <c r="B688" s="28" t="s">
        <v>2152</v>
      </c>
    </row>
    <row r="689" spans="1:2" x14ac:dyDescent="0.25">
      <c r="A689" s="28" t="s">
        <v>2153</v>
      </c>
      <c r="B689" s="28" t="s">
        <v>2154</v>
      </c>
    </row>
    <row r="690" spans="1:2" x14ac:dyDescent="0.25">
      <c r="A690" s="28" t="s">
        <v>2155</v>
      </c>
      <c r="B690" s="28" t="s">
        <v>2156</v>
      </c>
    </row>
    <row r="691" spans="1:2" x14ac:dyDescent="0.25">
      <c r="A691" s="28" t="s">
        <v>2157</v>
      </c>
      <c r="B691" s="28" t="s">
        <v>2158</v>
      </c>
    </row>
    <row r="692" spans="1:2" x14ac:dyDescent="0.25">
      <c r="A692" s="28" t="s">
        <v>2159</v>
      </c>
      <c r="B692" s="28" t="s">
        <v>2160</v>
      </c>
    </row>
    <row r="693" spans="1:2" x14ac:dyDescent="0.25">
      <c r="A693" s="28" t="s">
        <v>2161</v>
      </c>
      <c r="B693" s="28" t="s">
        <v>2162</v>
      </c>
    </row>
    <row r="694" spans="1:2" x14ac:dyDescent="0.25">
      <c r="A694" s="28" t="s">
        <v>402</v>
      </c>
      <c r="B694" s="28" t="s">
        <v>2163</v>
      </c>
    </row>
    <row r="695" spans="1:2" x14ac:dyDescent="0.25">
      <c r="A695" s="28" t="s">
        <v>2164</v>
      </c>
      <c r="B695" s="28" t="s">
        <v>2165</v>
      </c>
    </row>
    <row r="696" spans="1:2" x14ac:dyDescent="0.25">
      <c r="A696" s="28" t="s">
        <v>2166</v>
      </c>
      <c r="B696" s="28" t="s">
        <v>2167</v>
      </c>
    </row>
    <row r="697" spans="1:2" x14ac:dyDescent="0.25">
      <c r="A697" s="28" t="s">
        <v>2168</v>
      </c>
      <c r="B697" s="28" t="s">
        <v>2169</v>
      </c>
    </row>
    <row r="698" spans="1:2" x14ac:dyDescent="0.25">
      <c r="A698" s="28" t="s">
        <v>2170</v>
      </c>
      <c r="B698" s="28" t="s">
        <v>2171</v>
      </c>
    </row>
    <row r="699" spans="1:2" x14ac:dyDescent="0.25">
      <c r="A699" s="28" t="s">
        <v>2172</v>
      </c>
      <c r="B699" s="28" t="s">
        <v>2173</v>
      </c>
    </row>
    <row r="700" spans="1:2" x14ac:dyDescent="0.25">
      <c r="A700" s="28" t="s">
        <v>2174</v>
      </c>
      <c r="B700" s="28" t="s">
        <v>2175</v>
      </c>
    </row>
    <row r="701" spans="1:2" x14ac:dyDescent="0.25">
      <c r="A701" s="28" t="s">
        <v>2176</v>
      </c>
      <c r="B701" s="28" t="s">
        <v>2177</v>
      </c>
    </row>
    <row r="702" spans="1:2" x14ac:dyDescent="0.25">
      <c r="A702" s="28" t="s">
        <v>2178</v>
      </c>
      <c r="B702" s="28" t="s">
        <v>2179</v>
      </c>
    </row>
    <row r="703" spans="1:2" x14ac:dyDescent="0.25">
      <c r="A703" s="28" t="s">
        <v>2180</v>
      </c>
      <c r="B703" s="28" t="s">
        <v>2181</v>
      </c>
    </row>
    <row r="704" spans="1:2" x14ac:dyDescent="0.25">
      <c r="A704" s="28" t="s">
        <v>2182</v>
      </c>
      <c r="B704" s="28" t="s">
        <v>2183</v>
      </c>
    </row>
    <row r="705" spans="1:2" x14ac:dyDescent="0.25">
      <c r="A705" s="28" t="s">
        <v>2184</v>
      </c>
      <c r="B705" s="28" t="s">
        <v>2185</v>
      </c>
    </row>
    <row r="706" spans="1:2" x14ac:dyDescent="0.25">
      <c r="A706" s="28" t="s">
        <v>2186</v>
      </c>
      <c r="B706" s="28" t="s">
        <v>2187</v>
      </c>
    </row>
    <row r="707" spans="1:2" x14ac:dyDescent="0.25">
      <c r="A707" s="28" t="s">
        <v>2188</v>
      </c>
      <c r="B707" s="28" t="s">
        <v>2189</v>
      </c>
    </row>
    <row r="708" spans="1:2" x14ac:dyDescent="0.25">
      <c r="A708" s="28" t="s">
        <v>2190</v>
      </c>
      <c r="B708" s="28" t="s">
        <v>2191</v>
      </c>
    </row>
    <row r="709" spans="1:2" x14ac:dyDescent="0.25">
      <c r="A709" s="28" t="s">
        <v>2192</v>
      </c>
      <c r="B709" s="28" t="s">
        <v>2193</v>
      </c>
    </row>
    <row r="710" spans="1:2" x14ac:dyDescent="0.25">
      <c r="A710" s="28" t="s">
        <v>2194</v>
      </c>
      <c r="B710" s="28" t="s">
        <v>2195</v>
      </c>
    </row>
    <row r="711" spans="1:2" x14ac:dyDescent="0.25">
      <c r="A711" s="28" t="s">
        <v>2196</v>
      </c>
      <c r="B711" s="28" t="s">
        <v>2197</v>
      </c>
    </row>
    <row r="712" spans="1:2" x14ac:dyDescent="0.25">
      <c r="A712" s="28" t="s">
        <v>2198</v>
      </c>
      <c r="B712" s="28" t="s">
        <v>2199</v>
      </c>
    </row>
    <row r="713" spans="1:2" x14ac:dyDescent="0.25">
      <c r="A713" s="28" t="s">
        <v>2200</v>
      </c>
      <c r="B713" s="28" t="s">
        <v>2201</v>
      </c>
    </row>
    <row r="714" spans="1:2" x14ac:dyDescent="0.25">
      <c r="A714" s="28" t="s">
        <v>2202</v>
      </c>
      <c r="B714" s="28" t="s">
        <v>2203</v>
      </c>
    </row>
    <row r="715" spans="1:2" x14ac:dyDescent="0.25">
      <c r="A715" s="28" t="s">
        <v>2204</v>
      </c>
      <c r="B715" s="28" t="s">
        <v>2205</v>
      </c>
    </row>
    <row r="716" spans="1:2" x14ac:dyDescent="0.25">
      <c r="A716" s="28" t="s">
        <v>2206</v>
      </c>
      <c r="B716" s="28" t="s">
        <v>2207</v>
      </c>
    </row>
    <row r="717" spans="1:2" x14ac:dyDescent="0.25">
      <c r="A717" s="28" t="s">
        <v>2208</v>
      </c>
      <c r="B717" s="28" t="s">
        <v>2209</v>
      </c>
    </row>
    <row r="718" spans="1:2" x14ac:dyDescent="0.25">
      <c r="A718" s="28" t="s">
        <v>2210</v>
      </c>
      <c r="B718" s="28" t="s">
        <v>2211</v>
      </c>
    </row>
    <row r="719" spans="1:2" x14ac:dyDescent="0.25">
      <c r="A719" s="28" t="s">
        <v>2212</v>
      </c>
      <c r="B719" s="28" t="s">
        <v>2213</v>
      </c>
    </row>
    <row r="720" spans="1:2" x14ac:dyDescent="0.25">
      <c r="A720" s="28" t="s">
        <v>2214</v>
      </c>
      <c r="B720" s="28" t="s">
        <v>2215</v>
      </c>
    </row>
    <row r="721" spans="1:2" x14ac:dyDescent="0.25">
      <c r="A721" s="28" t="s">
        <v>2216</v>
      </c>
      <c r="B721" s="28" t="s">
        <v>2217</v>
      </c>
    </row>
    <row r="722" spans="1:2" x14ac:dyDescent="0.25">
      <c r="A722" s="28" t="s">
        <v>2218</v>
      </c>
      <c r="B722" s="28" t="s">
        <v>2219</v>
      </c>
    </row>
    <row r="723" spans="1:2" x14ac:dyDescent="0.25">
      <c r="A723" s="28" t="s">
        <v>2220</v>
      </c>
      <c r="B723" s="28" t="s">
        <v>2221</v>
      </c>
    </row>
    <row r="724" spans="1:2" x14ac:dyDescent="0.25">
      <c r="A724" s="28" t="s">
        <v>2222</v>
      </c>
      <c r="B724" s="28" t="s">
        <v>2223</v>
      </c>
    </row>
    <row r="725" spans="1:2" x14ac:dyDescent="0.25">
      <c r="A725" s="28" t="s">
        <v>2224</v>
      </c>
      <c r="B725" s="28" t="s">
        <v>2225</v>
      </c>
    </row>
    <row r="726" spans="1:2" x14ac:dyDescent="0.25">
      <c r="A726" s="28" t="s">
        <v>2226</v>
      </c>
      <c r="B726" s="28" t="s">
        <v>2227</v>
      </c>
    </row>
    <row r="727" spans="1:2" x14ac:dyDescent="0.25">
      <c r="A727" s="28" t="s">
        <v>2228</v>
      </c>
      <c r="B727" s="28" t="s">
        <v>2229</v>
      </c>
    </row>
    <row r="728" spans="1:2" x14ac:dyDescent="0.25">
      <c r="A728" s="28" t="s">
        <v>2230</v>
      </c>
      <c r="B728" s="28" t="s">
        <v>2231</v>
      </c>
    </row>
    <row r="729" spans="1:2" x14ac:dyDescent="0.25">
      <c r="A729" s="28" t="s">
        <v>2232</v>
      </c>
      <c r="B729" s="28" t="s">
        <v>2233</v>
      </c>
    </row>
    <row r="730" spans="1:2" x14ac:dyDescent="0.25">
      <c r="A730" s="28" t="s">
        <v>2234</v>
      </c>
      <c r="B730" s="28" t="s">
        <v>2235</v>
      </c>
    </row>
    <row r="731" spans="1:2" x14ac:dyDescent="0.25">
      <c r="A731" s="28" t="s">
        <v>2236</v>
      </c>
      <c r="B731" s="28" t="s">
        <v>2237</v>
      </c>
    </row>
    <row r="732" spans="1:2" x14ac:dyDescent="0.25">
      <c r="A732" s="28" t="s">
        <v>2238</v>
      </c>
      <c r="B732" s="28" t="s">
        <v>2239</v>
      </c>
    </row>
    <row r="733" spans="1:2" x14ac:dyDescent="0.25">
      <c r="A733" s="28" t="s">
        <v>2240</v>
      </c>
      <c r="B733" s="28" t="s">
        <v>2241</v>
      </c>
    </row>
    <row r="734" spans="1:2" x14ac:dyDescent="0.25">
      <c r="A734" s="28" t="s">
        <v>2242</v>
      </c>
      <c r="B734" s="28" t="s">
        <v>2243</v>
      </c>
    </row>
    <row r="735" spans="1:2" x14ac:dyDescent="0.25">
      <c r="A735" s="28" t="s">
        <v>2244</v>
      </c>
      <c r="B735" s="28" t="s">
        <v>2245</v>
      </c>
    </row>
    <row r="736" spans="1:2" x14ac:dyDescent="0.25">
      <c r="A736" s="28" t="s">
        <v>2246</v>
      </c>
      <c r="B736" s="28" t="s">
        <v>2247</v>
      </c>
    </row>
    <row r="737" spans="1:2" x14ac:dyDescent="0.25">
      <c r="A737" s="28" t="s">
        <v>2248</v>
      </c>
      <c r="B737" s="28" t="s">
        <v>2249</v>
      </c>
    </row>
    <row r="738" spans="1:2" x14ac:dyDescent="0.25">
      <c r="A738" s="28" t="s">
        <v>2250</v>
      </c>
      <c r="B738" s="28" t="s">
        <v>2251</v>
      </c>
    </row>
    <row r="739" spans="1:2" x14ac:dyDescent="0.25">
      <c r="A739" s="28" t="s">
        <v>2252</v>
      </c>
      <c r="B739" s="28" t="s">
        <v>2253</v>
      </c>
    </row>
    <row r="740" spans="1:2" x14ac:dyDescent="0.25">
      <c r="A740" s="28" t="s">
        <v>2254</v>
      </c>
      <c r="B740" s="28" t="s">
        <v>2255</v>
      </c>
    </row>
    <row r="741" spans="1:2" x14ac:dyDescent="0.25">
      <c r="A741" s="28" t="s">
        <v>2256</v>
      </c>
      <c r="B741" s="28" t="s">
        <v>2257</v>
      </c>
    </row>
    <row r="742" spans="1:2" x14ac:dyDescent="0.25">
      <c r="A742" s="28" t="s">
        <v>2258</v>
      </c>
      <c r="B742" s="28" t="s">
        <v>2259</v>
      </c>
    </row>
    <row r="743" spans="1:2" x14ac:dyDescent="0.25">
      <c r="A743" s="28" t="s">
        <v>2260</v>
      </c>
      <c r="B743" s="28" t="s">
        <v>2261</v>
      </c>
    </row>
    <row r="744" spans="1:2" x14ac:dyDescent="0.25">
      <c r="A744" s="28" t="s">
        <v>2262</v>
      </c>
      <c r="B744" s="28" t="s">
        <v>2263</v>
      </c>
    </row>
    <row r="745" spans="1:2" x14ac:dyDescent="0.25">
      <c r="A745" s="28" t="s">
        <v>2264</v>
      </c>
      <c r="B745" s="28" t="s">
        <v>2265</v>
      </c>
    </row>
    <row r="746" spans="1:2" x14ac:dyDescent="0.25">
      <c r="A746" s="28" t="s">
        <v>2266</v>
      </c>
      <c r="B746" s="28" t="s">
        <v>2267</v>
      </c>
    </row>
    <row r="747" spans="1:2" x14ac:dyDescent="0.25">
      <c r="A747" s="28" t="s">
        <v>2268</v>
      </c>
      <c r="B747" s="28" t="s">
        <v>2269</v>
      </c>
    </row>
    <row r="748" spans="1:2" x14ac:dyDescent="0.25">
      <c r="A748" s="28" t="s">
        <v>564</v>
      </c>
      <c r="B748" s="28" t="s">
        <v>2270</v>
      </c>
    </row>
    <row r="749" spans="1:2" x14ac:dyDescent="0.25">
      <c r="A749" s="28" t="s">
        <v>255</v>
      </c>
      <c r="B749" s="28" t="s">
        <v>2271</v>
      </c>
    </row>
    <row r="750" spans="1:2" x14ac:dyDescent="0.25">
      <c r="A750" s="28" t="s">
        <v>2272</v>
      </c>
      <c r="B750" s="28" t="s">
        <v>2273</v>
      </c>
    </row>
    <row r="751" spans="1:2" x14ac:dyDescent="0.25">
      <c r="A751" s="28" t="s">
        <v>2274</v>
      </c>
      <c r="B751" s="28" t="s">
        <v>2275</v>
      </c>
    </row>
    <row r="752" spans="1:2" x14ac:dyDescent="0.25">
      <c r="A752" s="28" t="s">
        <v>2276</v>
      </c>
      <c r="B752" s="28" t="s">
        <v>2277</v>
      </c>
    </row>
    <row r="753" spans="1:2" x14ac:dyDescent="0.25">
      <c r="A753" s="28" t="s">
        <v>2278</v>
      </c>
      <c r="B753" s="28" t="s">
        <v>2279</v>
      </c>
    </row>
    <row r="754" spans="1:2" x14ac:dyDescent="0.25">
      <c r="A754" s="28" t="s">
        <v>2280</v>
      </c>
      <c r="B754" s="28" t="s">
        <v>2281</v>
      </c>
    </row>
    <row r="755" spans="1:2" x14ac:dyDescent="0.25">
      <c r="A755" s="28" t="s">
        <v>2282</v>
      </c>
      <c r="B755" s="28" t="s">
        <v>2283</v>
      </c>
    </row>
    <row r="756" spans="1:2" x14ac:dyDescent="0.25">
      <c r="A756" s="28" t="s">
        <v>2284</v>
      </c>
      <c r="B756" s="28" t="s">
        <v>2285</v>
      </c>
    </row>
    <row r="757" spans="1:2" x14ac:dyDescent="0.25">
      <c r="A757" s="28" t="s">
        <v>2286</v>
      </c>
      <c r="B757" s="28" t="s">
        <v>2287</v>
      </c>
    </row>
    <row r="758" spans="1:2" x14ac:dyDescent="0.25">
      <c r="A758" s="28" t="s">
        <v>37</v>
      </c>
      <c r="B758" s="28" t="s">
        <v>2288</v>
      </c>
    </row>
    <row r="759" spans="1:2" x14ac:dyDescent="0.25">
      <c r="A759" s="28" t="s">
        <v>2289</v>
      </c>
      <c r="B759" s="28" t="s">
        <v>2290</v>
      </c>
    </row>
    <row r="760" spans="1:2" x14ac:dyDescent="0.25">
      <c r="A760" s="28" t="s">
        <v>2291</v>
      </c>
      <c r="B760" s="28" t="s">
        <v>2292</v>
      </c>
    </row>
    <row r="761" spans="1:2" x14ac:dyDescent="0.25">
      <c r="A761" s="28" t="s">
        <v>2293</v>
      </c>
      <c r="B761" s="28" t="s">
        <v>2294</v>
      </c>
    </row>
    <row r="762" spans="1:2" x14ac:dyDescent="0.25">
      <c r="A762" s="28" t="s">
        <v>2295</v>
      </c>
      <c r="B762" s="28" t="s">
        <v>2296</v>
      </c>
    </row>
    <row r="763" spans="1:2" x14ac:dyDescent="0.25">
      <c r="A763" s="28" t="s">
        <v>2297</v>
      </c>
      <c r="B763" s="28" t="s">
        <v>2298</v>
      </c>
    </row>
    <row r="764" spans="1:2" x14ac:dyDescent="0.25">
      <c r="A764" s="28" t="s">
        <v>2299</v>
      </c>
      <c r="B764" s="28" t="s">
        <v>2300</v>
      </c>
    </row>
    <row r="765" spans="1:2" x14ac:dyDescent="0.25">
      <c r="A765" s="28" t="s">
        <v>2301</v>
      </c>
      <c r="B765" s="28" t="s">
        <v>2302</v>
      </c>
    </row>
    <row r="766" spans="1:2" x14ac:dyDescent="0.25">
      <c r="A766" s="28" t="s">
        <v>2303</v>
      </c>
      <c r="B766" s="28" t="s">
        <v>2304</v>
      </c>
    </row>
    <row r="767" spans="1:2" x14ac:dyDescent="0.25">
      <c r="A767" s="28" t="s">
        <v>2305</v>
      </c>
      <c r="B767" s="28" t="s">
        <v>2306</v>
      </c>
    </row>
    <row r="768" spans="1:2" x14ac:dyDescent="0.25">
      <c r="A768" s="28" t="s">
        <v>2307</v>
      </c>
      <c r="B768" s="28" t="s">
        <v>2308</v>
      </c>
    </row>
    <row r="769" spans="1:2" x14ac:dyDescent="0.25">
      <c r="A769" s="28" t="s">
        <v>2309</v>
      </c>
      <c r="B769" s="28" t="s">
        <v>2310</v>
      </c>
    </row>
    <row r="770" spans="1:2" x14ac:dyDescent="0.25">
      <c r="A770" s="28" t="s">
        <v>2311</v>
      </c>
      <c r="B770" s="28" t="s">
        <v>2312</v>
      </c>
    </row>
    <row r="771" spans="1:2" x14ac:dyDescent="0.25">
      <c r="A771" s="28" t="s">
        <v>2313</v>
      </c>
      <c r="B771" s="28" t="s">
        <v>2314</v>
      </c>
    </row>
    <row r="772" spans="1:2" x14ac:dyDescent="0.25">
      <c r="A772" s="28" t="s">
        <v>2315</v>
      </c>
      <c r="B772" s="28" t="s">
        <v>2316</v>
      </c>
    </row>
    <row r="773" spans="1:2" x14ac:dyDescent="0.25">
      <c r="A773" s="28" t="s">
        <v>2317</v>
      </c>
      <c r="B773" s="28" t="s">
        <v>2318</v>
      </c>
    </row>
    <row r="774" spans="1:2" x14ac:dyDescent="0.25">
      <c r="A774" s="28" t="s">
        <v>2319</v>
      </c>
      <c r="B774" s="28" t="s">
        <v>2320</v>
      </c>
    </row>
    <row r="775" spans="1:2" x14ac:dyDescent="0.25">
      <c r="A775" s="28" t="s">
        <v>2321</v>
      </c>
      <c r="B775" s="28" t="s">
        <v>2322</v>
      </c>
    </row>
    <row r="776" spans="1:2" x14ac:dyDescent="0.25">
      <c r="A776" s="28" t="s">
        <v>2323</v>
      </c>
      <c r="B776" s="28" t="s">
        <v>2324</v>
      </c>
    </row>
    <row r="777" spans="1:2" x14ac:dyDescent="0.25">
      <c r="A777" s="28" t="s">
        <v>2325</v>
      </c>
      <c r="B777" s="28" t="s">
        <v>2326</v>
      </c>
    </row>
    <row r="778" spans="1:2" x14ac:dyDescent="0.25">
      <c r="A778" s="28" t="s">
        <v>2327</v>
      </c>
      <c r="B778" s="28" t="s">
        <v>2328</v>
      </c>
    </row>
    <row r="779" spans="1:2" x14ac:dyDescent="0.25">
      <c r="A779" s="28" t="s">
        <v>2329</v>
      </c>
      <c r="B779" s="28" t="s">
        <v>2330</v>
      </c>
    </row>
    <row r="780" spans="1:2" x14ac:dyDescent="0.25">
      <c r="A780" s="28" t="s">
        <v>2331</v>
      </c>
      <c r="B780" s="28" t="s">
        <v>2332</v>
      </c>
    </row>
    <row r="781" spans="1:2" x14ac:dyDescent="0.25">
      <c r="A781" s="28" t="s">
        <v>2333</v>
      </c>
      <c r="B781" s="28" t="s">
        <v>2334</v>
      </c>
    </row>
    <row r="782" spans="1:2" x14ac:dyDescent="0.25">
      <c r="A782" s="28" t="s">
        <v>2335</v>
      </c>
      <c r="B782" s="28" t="s">
        <v>2336</v>
      </c>
    </row>
    <row r="783" spans="1:2" x14ac:dyDescent="0.25">
      <c r="A783" s="28" t="s">
        <v>2337</v>
      </c>
      <c r="B783" s="28" t="s">
        <v>2338</v>
      </c>
    </row>
    <row r="784" spans="1:2" x14ac:dyDescent="0.25">
      <c r="A784" s="28" t="s">
        <v>2339</v>
      </c>
      <c r="B784" s="28" t="s">
        <v>2340</v>
      </c>
    </row>
    <row r="785" spans="1:2" x14ac:dyDescent="0.25">
      <c r="A785" s="28" t="s">
        <v>2341</v>
      </c>
      <c r="B785" s="28" t="s">
        <v>2342</v>
      </c>
    </row>
    <row r="786" spans="1:2" x14ac:dyDescent="0.25">
      <c r="A786" s="28" t="s">
        <v>2343</v>
      </c>
      <c r="B786" s="28" t="s">
        <v>2344</v>
      </c>
    </row>
    <row r="787" spans="1:2" x14ac:dyDescent="0.25">
      <c r="A787" s="28" t="s">
        <v>2345</v>
      </c>
      <c r="B787" s="28" t="s">
        <v>2346</v>
      </c>
    </row>
    <row r="788" spans="1:2" x14ac:dyDescent="0.25">
      <c r="A788" s="28" t="s">
        <v>2347</v>
      </c>
      <c r="B788" s="28" t="s">
        <v>2348</v>
      </c>
    </row>
    <row r="789" spans="1:2" x14ac:dyDescent="0.25">
      <c r="A789" s="28" t="s">
        <v>2349</v>
      </c>
      <c r="B789" s="28" t="s">
        <v>2350</v>
      </c>
    </row>
    <row r="790" spans="1:2" x14ac:dyDescent="0.25">
      <c r="A790" s="28" t="s">
        <v>2351</v>
      </c>
      <c r="B790" s="28" t="s">
        <v>2352</v>
      </c>
    </row>
    <row r="791" spans="1:2" x14ac:dyDescent="0.25">
      <c r="A791" s="28" t="s">
        <v>2353</v>
      </c>
      <c r="B791" s="28" t="s">
        <v>2354</v>
      </c>
    </row>
    <row r="792" spans="1:2" x14ac:dyDescent="0.25">
      <c r="A792" s="28" t="s">
        <v>2355</v>
      </c>
      <c r="B792" s="28" t="s">
        <v>2356</v>
      </c>
    </row>
    <row r="793" spans="1:2" x14ac:dyDescent="0.25">
      <c r="A793" s="28" t="s">
        <v>2357</v>
      </c>
      <c r="B793" s="28" t="s">
        <v>2358</v>
      </c>
    </row>
    <row r="794" spans="1:2" x14ac:dyDescent="0.25">
      <c r="A794" s="28" t="s">
        <v>2359</v>
      </c>
      <c r="B794" s="28" t="s">
        <v>2360</v>
      </c>
    </row>
    <row r="795" spans="1:2" x14ac:dyDescent="0.25">
      <c r="A795" s="28" t="s">
        <v>2361</v>
      </c>
      <c r="B795" s="28" t="s">
        <v>2362</v>
      </c>
    </row>
    <row r="796" spans="1:2" x14ac:dyDescent="0.25">
      <c r="A796" s="28" t="s">
        <v>2363</v>
      </c>
      <c r="B796" s="28" t="s">
        <v>2364</v>
      </c>
    </row>
    <row r="797" spans="1:2" x14ac:dyDescent="0.25">
      <c r="A797" s="28" t="s">
        <v>2365</v>
      </c>
      <c r="B797" s="28" t="s">
        <v>2366</v>
      </c>
    </row>
    <row r="798" spans="1:2" x14ac:dyDescent="0.25">
      <c r="A798" s="28" t="s">
        <v>2367</v>
      </c>
      <c r="B798" s="28" t="s">
        <v>2368</v>
      </c>
    </row>
    <row r="799" spans="1:2" x14ac:dyDescent="0.25">
      <c r="A799" s="28" t="s">
        <v>2369</v>
      </c>
      <c r="B799" s="28" t="s">
        <v>2370</v>
      </c>
    </row>
    <row r="800" spans="1:2" x14ac:dyDescent="0.25">
      <c r="A800" s="28" t="s">
        <v>2371</v>
      </c>
      <c r="B800" s="28" t="s">
        <v>2372</v>
      </c>
    </row>
    <row r="801" spans="1:2" x14ac:dyDescent="0.25">
      <c r="A801" s="28" t="s">
        <v>2373</v>
      </c>
      <c r="B801" s="28" t="s">
        <v>2374</v>
      </c>
    </row>
    <row r="802" spans="1:2" x14ac:dyDescent="0.25">
      <c r="A802" s="28" t="s">
        <v>2375</v>
      </c>
      <c r="B802" s="28" t="s">
        <v>2376</v>
      </c>
    </row>
    <row r="803" spans="1:2" x14ac:dyDescent="0.25">
      <c r="A803" s="28" t="s">
        <v>437</v>
      </c>
      <c r="B803" s="28" t="s">
        <v>2377</v>
      </c>
    </row>
    <row r="804" spans="1:2" x14ac:dyDescent="0.25">
      <c r="A804" s="28" t="s">
        <v>2378</v>
      </c>
      <c r="B804" s="28" t="s">
        <v>2379</v>
      </c>
    </row>
    <row r="805" spans="1:2" x14ac:dyDescent="0.25">
      <c r="A805" s="28" t="s">
        <v>2380</v>
      </c>
      <c r="B805" s="28" t="s">
        <v>2381</v>
      </c>
    </row>
    <row r="806" spans="1:2" x14ac:dyDescent="0.25">
      <c r="A806" s="28" t="s">
        <v>2382</v>
      </c>
      <c r="B806" s="28" t="s">
        <v>2383</v>
      </c>
    </row>
    <row r="807" spans="1:2" x14ac:dyDescent="0.25">
      <c r="A807" s="28" t="s">
        <v>2384</v>
      </c>
      <c r="B807" s="28" t="s">
        <v>2385</v>
      </c>
    </row>
    <row r="808" spans="1:2" x14ac:dyDescent="0.25">
      <c r="A808" s="28" t="s">
        <v>2386</v>
      </c>
      <c r="B808" s="28" t="s">
        <v>2387</v>
      </c>
    </row>
    <row r="809" spans="1:2" x14ac:dyDescent="0.25">
      <c r="A809" s="28" t="s">
        <v>2388</v>
      </c>
      <c r="B809" s="28" t="s">
        <v>2389</v>
      </c>
    </row>
    <row r="810" spans="1:2" x14ac:dyDescent="0.25">
      <c r="A810" s="28" t="s">
        <v>2390</v>
      </c>
      <c r="B810" s="28" t="s">
        <v>2391</v>
      </c>
    </row>
    <row r="811" spans="1:2" x14ac:dyDescent="0.25">
      <c r="A811" s="28" t="s">
        <v>2392</v>
      </c>
      <c r="B811" s="28" t="s">
        <v>2393</v>
      </c>
    </row>
    <row r="812" spans="1:2" x14ac:dyDescent="0.25">
      <c r="A812" s="28" t="s">
        <v>2394</v>
      </c>
      <c r="B812" s="28" t="s">
        <v>2395</v>
      </c>
    </row>
    <row r="813" spans="1:2" x14ac:dyDescent="0.25">
      <c r="A813" s="28" t="s">
        <v>2396</v>
      </c>
      <c r="B813" s="28" t="s">
        <v>2397</v>
      </c>
    </row>
    <row r="814" spans="1:2" x14ac:dyDescent="0.25">
      <c r="A814" s="28" t="s">
        <v>2398</v>
      </c>
      <c r="B814" s="28" t="s">
        <v>2399</v>
      </c>
    </row>
    <row r="815" spans="1:2" x14ac:dyDescent="0.25">
      <c r="A815" s="28" t="s">
        <v>2400</v>
      </c>
      <c r="B815" s="28" t="s">
        <v>2401</v>
      </c>
    </row>
    <row r="816" spans="1:2" x14ac:dyDescent="0.25">
      <c r="A816" s="28" t="s">
        <v>2402</v>
      </c>
      <c r="B816" s="28" t="s">
        <v>2403</v>
      </c>
    </row>
    <row r="817" spans="1:2" x14ac:dyDescent="0.25">
      <c r="A817" s="28" t="s">
        <v>2404</v>
      </c>
      <c r="B817" s="28" t="s">
        <v>2405</v>
      </c>
    </row>
    <row r="818" spans="1:2" x14ac:dyDescent="0.25">
      <c r="A818" s="28" t="s">
        <v>2406</v>
      </c>
      <c r="B818" s="28" t="s">
        <v>2407</v>
      </c>
    </row>
    <row r="819" spans="1:2" x14ac:dyDescent="0.25">
      <c r="A819" s="28" t="s">
        <v>2408</v>
      </c>
      <c r="B819" s="28" t="s">
        <v>2409</v>
      </c>
    </row>
    <row r="820" spans="1:2" x14ac:dyDescent="0.25">
      <c r="A820" s="28" t="s">
        <v>2410</v>
      </c>
      <c r="B820" s="28" t="s">
        <v>2411</v>
      </c>
    </row>
    <row r="821" spans="1:2" x14ac:dyDescent="0.25">
      <c r="A821" s="28" t="s">
        <v>2412</v>
      </c>
      <c r="B821" s="28" t="s">
        <v>2413</v>
      </c>
    </row>
    <row r="822" spans="1:2" x14ac:dyDescent="0.25">
      <c r="A822" s="28" t="s">
        <v>2414</v>
      </c>
      <c r="B822" s="28" t="s">
        <v>2415</v>
      </c>
    </row>
    <row r="823" spans="1:2" x14ac:dyDescent="0.25">
      <c r="A823" s="28" t="s">
        <v>2416</v>
      </c>
      <c r="B823" s="28" t="s">
        <v>2417</v>
      </c>
    </row>
    <row r="824" spans="1:2" x14ac:dyDescent="0.25">
      <c r="A824" s="28" t="s">
        <v>2418</v>
      </c>
      <c r="B824" s="28" t="s">
        <v>2419</v>
      </c>
    </row>
    <row r="825" spans="1:2" x14ac:dyDescent="0.25">
      <c r="A825" s="28" t="s">
        <v>2420</v>
      </c>
      <c r="B825" s="28" t="s">
        <v>2421</v>
      </c>
    </row>
    <row r="826" spans="1:2" x14ac:dyDescent="0.25">
      <c r="A826" s="28" t="s">
        <v>2422</v>
      </c>
      <c r="B826" s="28" t="s">
        <v>2423</v>
      </c>
    </row>
    <row r="827" spans="1:2" x14ac:dyDescent="0.25">
      <c r="A827" s="28" t="s">
        <v>2424</v>
      </c>
      <c r="B827" s="28" t="s">
        <v>2425</v>
      </c>
    </row>
    <row r="828" spans="1:2" x14ac:dyDescent="0.25">
      <c r="A828" s="28" t="s">
        <v>2426</v>
      </c>
      <c r="B828" s="28" t="s">
        <v>2427</v>
      </c>
    </row>
    <row r="829" spans="1:2" x14ac:dyDescent="0.25">
      <c r="A829" s="28" t="s">
        <v>2428</v>
      </c>
      <c r="B829" s="28" t="s">
        <v>2429</v>
      </c>
    </row>
    <row r="830" spans="1:2" x14ac:dyDescent="0.25">
      <c r="A830" s="28" t="s">
        <v>2430</v>
      </c>
      <c r="B830" s="28" t="s">
        <v>2431</v>
      </c>
    </row>
    <row r="831" spans="1:2" x14ac:dyDescent="0.25">
      <c r="A831" s="28" t="s">
        <v>2432</v>
      </c>
      <c r="B831" s="28" t="s">
        <v>2433</v>
      </c>
    </row>
    <row r="832" spans="1:2" x14ac:dyDescent="0.25">
      <c r="A832" s="28" t="s">
        <v>621</v>
      </c>
      <c r="B832" s="28" t="s">
        <v>2434</v>
      </c>
    </row>
    <row r="833" spans="1:2" x14ac:dyDescent="0.25">
      <c r="A833" s="28" t="s">
        <v>2435</v>
      </c>
      <c r="B833" s="28" t="s">
        <v>2436</v>
      </c>
    </row>
    <row r="834" spans="1:2" x14ac:dyDescent="0.25">
      <c r="A834" s="28" t="s">
        <v>609</v>
      </c>
      <c r="B834" s="28" t="s">
        <v>2437</v>
      </c>
    </row>
    <row r="835" spans="1:2" x14ac:dyDescent="0.25">
      <c r="A835" s="28" t="s">
        <v>2438</v>
      </c>
      <c r="B835" s="28" t="s">
        <v>2439</v>
      </c>
    </row>
    <row r="836" spans="1:2" x14ac:dyDescent="0.25">
      <c r="A836" s="28" t="s">
        <v>2440</v>
      </c>
      <c r="B836" s="28" t="s">
        <v>2441</v>
      </c>
    </row>
    <row r="837" spans="1:2" x14ac:dyDescent="0.25">
      <c r="A837" s="28" t="s">
        <v>2442</v>
      </c>
      <c r="B837" s="28" t="s">
        <v>2443</v>
      </c>
    </row>
    <row r="838" spans="1:2" x14ac:dyDescent="0.25">
      <c r="A838" s="28" t="s">
        <v>2444</v>
      </c>
      <c r="B838" s="28" t="s">
        <v>2445</v>
      </c>
    </row>
    <row r="839" spans="1:2" x14ac:dyDescent="0.25">
      <c r="A839" s="28" t="s">
        <v>2446</v>
      </c>
      <c r="B839" s="28" t="s">
        <v>2447</v>
      </c>
    </row>
    <row r="840" spans="1:2" x14ac:dyDescent="0.25">
      <c r="A840" s="28" t="s">
        <v>2448</v>
      </c>
      <c r="B840" s="28" t="s">
        <v>2449</v>
      </c>
    </row>
    <row r="841" spans="1:2" x14ac:dyDescent="0.25">
      <c r="A841" s="28" t="s">
        <v>2450</v>
      </c>
      <c r="B841" s="28" t="s">
        <v>2451</v>
      </c>
    </row>
    <row r="842" spans="1:2" x14ac:dyDescent="0.25">
      <c r="A842" s="28" t="s">
        <v>2452</v>
      </c>
      <c r="B842" s="28" t="s">
        <v>2453</v>
      </c>
    </row>
    <row r="843" spans="1:2" x14ac:dyDescent="0.25">
      <c r="A843" s="28" t="s">
        <v>2454</v>
      </c>
      <c r="B843" s="28" t="s">
        <v>2455</v>
      </c>
    </row>
    <row r="844" spans="1:2" x14ac:dyDescent="0.25">
      <c r="A844" s="28" t="s">
        <v>2456</v>
      </c>
      <c r="B844" s="28" t="s">
        <v>2457</v>
      </c>
    </row>
    <row r="845" spans="1:2" x14ac:dyDescent="0.25">
      <c r="A845" s="28" t="s">
        <v>2458</v>
      </c>
      <c r="B845" s="28" t="s">
        <v>2459</v>
      </c>
    </row>
    <row r="846" spans="1:2" x14ac:dyDescent="0.25">
      <c r="A846" s="28" t="s">
        <v>2460</v>
      </c>
      <c r="B846" s="28" t="s">
        <v>2461</v>
      </c>
    </row>
    <row r="847" spans="1:2" x14ac:dyDescent="0.25">
      <c r="A847" s="28" t="s">
        <v>2462</v>
      </c>
      <c r="B847" s="28" t="s">
        <v>2463</v>
      </c>
    </row>
    <row r="848" spans="1:2" x14ac:dyDescent="0.25">
      <c r="A848" s="28" t="s">
        <v>2464</v>
      </c>
      <c r="B848" s="28" t="s">
        <v>2465</v>
      </c>
    </row>
    <row r="849" spans="1:2" x14ac:dyDescent="0.25">
      <c r="A849" s="28" t="s">
        <v>2466</v>
      </c>
      <c r="B849" s="28" t="s">
        <v>2467</v>
      </c>
    </row>
    <row r="850" spans="1:2" x14ac:dyDescent="0.25">
      <c r="A850" s="28" t="s">
        <v>2468</v>
      </c>
      <c r="B850" s="28" t="s">
        <v>2469</v>
      </c>
    </row>
    <row r="851" spans="1:2" x14ac:dyDescent="0.25">
      <c r="A851" s="28" t="s">
        <v>2470</v>
      </c>
      <c r="B851" s="28" t="s">
        <v>2471</v>
      </c>
    </row>
    <row r="852" spans="1:2" x14ac:dyDescent="0.25">
      <c r="A852" s="28" t="s">
        <v>2472</v>
      </c>
      <c r="B852" s="28" t="s">
        <v>2473</v>
      </c>
    </row>
    <row r="853" spans="1:2" x14ac:dyDescent="0.25">
      <c r="A853" s="28" t="s">
        <v>2474</v>
      </c>
      <c r="B853" s="28" t="s">
        <v>2475</v>
      </c>
    </row>
    <row r="854" spans="1:2" x14ac:dyDescent="0.25">
      <c r="A854" s="28" t="s">
        <v>2476</v>
      </c>
      <c r="B854" s="28" t="s">
        <v>2477</v>
      </c>
    </row>
    <row r="855" spans="1:2" x14ac:dyDescent="0.25">
      <c r="A855" s="28" t="s">
        <v>2478</v>
      </c>
      <c r="B855" s="28" t="s">
        <v>2479</v>
      </c>
    </row>
    <row r="856" spans="1:2" x14ac:dyDescent="0.25">
      <c r="A856" s="28" t="s">
        <v>2480</v>
      </c>
      <c r="B856" s="28" t="s">
        <v>2481</v>
      </c>
    </row>
    <row r="857" spans="1:2" x14ac:dyDescent="0.25">
      <c r="A857" s="28" t="s">
        <v>2482</v>
      </c>
      <c r="B857" s="28" t="s">
        <v>2483</v>
      </c>
    </row>
    <row r="858" spans="1:2" x14ac:dyDescent="0.25">
      <c r="A858" s="28" t="s">
        <v>2484</v>
      </c>
      <c r="B858" s="28" t="s">
        <v>2485</v>
      </c>
    </row>
    <row r="859" spans="1:2" x14ac:dyDescent="0.25">
      <c r="A859" s="28" t="s">
        <v>2486</v>
      </c>
      <c r="B859" s="28" t="s">
        <v>2487</v>
      </c>
    </row>
    <row r="860" spans="1:2" x14ac:dyDescent="0.25">
      <c r="A860" s="28" t="s">
        <v>2488</v>
      </c>
      <c r="B860" s="28" t="s">
        <v>2489</v>
      </c>
    </row>
    <row r="861" spans="1:2" x14ac:dyDescent="0.25">
      <c r="A861" s="28" t="s">
        <v>2490</v>
      </c>
      <c r="B861" s="28" t="s">
        <v>2491</v>
      </c>
    </row>
    <row r="862" spans="1:2" x14ac:dyDescent="0.25">
      <c r="A862" s="28" t="s">
        <v>2492</v>
      </c>
      <c r="B862" s="28" t="s">
        <v>2493</v>
      </c>
    </row>
    <row r="863" spans="1:2" x14ac:dyDescent="0.25">
      <c r="A863" s="28" t="s">
        <v>2494</v>
      </c>
      <c r="B863" s="28" t="s">
        <v>2495</v>
      </c>
    </row>
    <row r="864" spans="1:2" x14ac:dyDescent="0.25">
      <c r="A864" s="28" t="s">
        <v>2496</v>
      </c>
      <c r="B864" s="28" t="s">
        <v>2497</v>
      </c>
    </row>
    <row r="865" spans="1:2" x14ac:dyDescent="0.25">
      <c r="A865" s="28" t="s">
        <v>2498</v>
      </c>
      <c r="B865" s="28" t="s">
        <v>2499</v>
      </c>
    </row>
    <row r="866" spans="1:2" x14ac:dyDescent="0.25">
      <c r="A866" s="28" t="s">
        <v>2500</v>
      </c>
      <c r="B866" s="28" t="s">
        <v>2501</v>
      </c>
    </row>
    <row r="867" spans="1:2" x14ac:dyDescent="0.25">
      <c r="A867" s="28" t="s">
        <v>2502</v>
      </c>
      <c r="B867" s="28" t="s">
        <v>2503</v>
      </c>
    </row>
    <row r="868" spans="1:2" x14ac:dyDescent="0.25">
      <c r="A868" s="28" t="s">
        <v>2504</v>
      </c>
      <c r="B868" s="28" t="s">
        <v>2505</v>
      </c>
    </row>
    <row r="869" spans="1:2" x14ac:dyDescent="0.25">
      <c r="A869" s="28" t="s">
        <v>2506</v>
      </c>
      <c r="B869" s="28" t="s">
        <v>2507</v>
      </c>
    </row>
    <row r="870" spans="1:2" x14ac:dyDescent="0.25">
      <c r="A870" s="28" t="s">
        <v>2508</v>
      </c>
      <c r="B870" s="28" t="s">
        <v>2509</v>
      </c>
    </row>
    <row r="871" spans="1:2" x14ac:dyDescent="0.25">
      <c r="A871" s="29" t="s">
        <v>2510</v>
      </c>
      <c r="B871" s="30" t="s">
        <v>2511</v>
      </c>
    </row>
    <row r="872" spans="1:2" x14ac:dyDescent="0.25">
      <c r="A872" s="31" t="s">
        <v>2512</v>
      </c>
      <c r="B872" s="32" t="s">
        <v>2513</v>
      </c>
    </row>
    <row r="873" spans="1:2" x14ac:dyDescent="0.25">
      <c r="A873" s="29" t="s">
        <v>2514</v>
      </c>
      <c r="B873" s="30" t="s">
        <v>2515</v>
      </c>
    </row>
    <row r="874" spans="1:2" x14ac:dyDescent="0.25">
      <c r="A874" s="31" t="s">
        <v>2516</v>
      </c>
      <c r="B874" s="32" t="s">
        <v>2517</v>
      </c>
    </row>
    <row r="875" spans="1:2" x14ac:dyDescent="0.25">
      <c r="A875" s="29" t="s">
        <v>2518</v>
      </c>
      <c r="B875" s="30" t="s">
        <v>2519</v>
      </c>
    </row>
    <row r="876" spans="1:2" x14ac:dyDescent="0.25">
      <c r="A876" s="31" t="s">
        <v>2520</v>
      </c>
      <c r="B876" s="32" t="s">
        <v>2521</v>
      </c>
    </row>
    <row r="877" spans="1:2" x14ac:dyDescent="0.25">
      <c r="A877" s="29" t="s">
        <v>2522</v>
      </c>
      <c r="B877" s="30" t="s">
        <v>2523</v>
      </c>
    </row>
    <row r="878" spans="1:2" x14ac:dyDescent="0.25">
      <c r="A878" s="31" t="s">
        <v>2524</v>
      </c>
      <c r="B878" s="32" t="s">
        <v>2525</v>
      </c>
    </row>
    <row r="879" spans="1:2" x14ac:dyDescent="0.25">
      <c r="A879" s="29" t="s">
        <v>2526</v>
      </c>
      <c r="B879" s="30" t="s">
        <v>2527</v>
      </c>
    </row>
    <row r="880" spans="1:2" x14ac:dyDescent="0.25">
      <c r="A880" s="31" t="s">
        <v>2528</v>
      </c>
      <c r="B880" s="32" t="s">
        <v>2529</v>
      </c>
    </row>
    <row r="881" spans="1:2" x14ac:dyDescent="0.25">
      <c r="A881" s="29" t="s">
        <v>2530</v>
      </c>
      <c r="B881" s="30" t="s">
        <v>2531</v>
      </c>
    </row>
    <row r="882" spans="1:2" x14ac:dyDescent="0.25">
      <c r="A882" s="31" t="s">
        <v>2532</v>
      </c>
      <c r="B882" s="32" t="s">
        <v>2533</v>
      </c>
    </row>
    <row r="883" spans="1:2" x14ac:dyDescent="0.25">
      <c r="A883" s="29" t="s">
        <v>2534</v>
      </c>
      <c r="B883" s="30" t="s">
        <v>2535</v>
      </c>
    </row>
    <row r="884" spans="1:2" x14ac:dyDescent="0.25">
      <c r="A884" s="31" t="s">
        <v>212</v>
      </c>
      <c r="B884" s="32" t="s">
        <v>2536</v>
      </c>
    </row>
    <row r="885" spans="1:2" x14ac:dyDescent="0.25">
      <c r="A885" s="29" t="s">
        <v>113</v>
      </c>
      <c r="B885" s="30" t="s">
        <v>2537</v>
      </c>
    </row>
    <row r="886" spans="1:2" x14ac:dyDescent="0.25">
      <c r="A886" s="31" t="s">
        <v>2538</v>
      </c>
      <c r="B886" s="32" t="s">
        <v>2539</v>
      </c>
    </row>
    <row r="887" spans="1:2" x14ac:dyDescent="0.25">
      <c r="A887" s="29" t="s">
        <v>2540</v>
      </c>
      <c r="B887" s="30" t="s">
        <v>2541</v>
      </c>
    </row>
    <row r="888" spans="1:2" x14ac:dyDescent="0.25">
      <c r="A888" s="29" t="s">
        <v>2542</v>
      </c>
      <c r="B888" s="30" t="s">
        <v>2543</v>
      </c>
    </row>
    <row r="889" spans="1:2" x14ac:dyDescent="0.25">
      <c r="A889" s="31" t="s">
        <v>2544</v>
      </c>
      <c r="B889" s="32" t="s">
        <v>2545</v>
      </c>
    </row>
    <row r="890" spans="1:2" x14ac:dyDescent="0.25">
      <c r="A890" s="29" t="s">
        <v>2546</v>
      </c>
      <c r="B890" s="30" t="s">
        <v>2547</v>
      </c>
    </row>
    <row r="891" spans="1:2" x14ac:dyDescent="0.25">
      <c r="A891" s="31" t="s">
        <v>2548</v>
      </c>
      <c r="B891" s="32" t="s">
        <v>2549</v>
      </c>
    </row>
    <row r="892" spans="1:2" x14ac:dyDescent="0.25">
      <c r="A892" s="29" t="s">
        <v>2550</v>
      </c>
      <c r="B892" s="30" t="s">
        <v>2551</v>
      </c>
    </row>
    <row r="893" spans="1:2" x14ac:dyDescent="0.25">
      <c r="A893" s="31" t="s">
        <v>2552</v>
      </c>
      <c r="B893" s="32" t="s">
        <v>2553</v>
      </c>
    </row>
    <row r="894" spans="1:2" x14ac:dyDescent="0.25">
      <c r="A894" s="29" t="s">
        <v>2554</v>
      </c>
      <c r="B894" s="30" t="s">
        <v>2555</v>
      </c>
    </row>
    <row r="895" spans="1:2" x14ac:dyDescent="0.25">
      <c r="A895" s="31" t="s">
        <v>2556</v>
      </c>
      <c r="B895" s="32" t="s">
        <v>2557</v>
      </c>
    </row>
    <row r="896" spans="1:2" x14ac:dyDescent="0.25">
      <c r="A896" s="29" t="s">
        <v>2558</v>
      </c>
      <c r="B896" s="30" t="s">
        <v>2559</v>
      </c>
    </row>
    <row r="897" spans="1:2" x14ac:dyDescent="0.25">
      <c r="A897" s="31" t="s">
        <v>2560</v>
      </c>
      <c r="B897" s="32" t="s">
        <v>2561</v>
      </c>
    </row>
    <row r="898" spans="1:2" x14ac:dyDescent="0.25">
      <c r="A898" s="29" t="s">
        <v>2562</v>
      </c>
      <c r="B898" s="30" t="s">
        <v>2563</v>
      </c>
    </row>
    <row r="899" spans="1:2" x14ac:dyDescent="0.25">
      <c r="A899" s="31" t="s">
        <v>2564</v>
      </c>
      <c r="B899" s="32" t="s">
        <v>2565</v>
      </c>
    </row>
    <row r="900" spans="1:2" x14ac:dyDescent="0.25">
      <c r="A900" s="29" t="s">
        <v>2566</v>
      </c>
      <c r="B900" s="30" t="s">
        <v>2567</v>
      </c>
    </row>
    <row r="901" spans="1:2" x14ac:dyDescent="0.25">
      <c r="A901" s="31" t="s">
        <v>2568</v>
      </c>
      <c r="B901" s="32" t="s">
        <v>2569</v>
      </c>
    </row>
    <row r="902" spans="1:2" x14ac:dyDescent="0.25">
      <c r="A902" s="29" t="s">
        <v>2570</v>
      </c>
      <c r="B902" s="30" t="s">
        <v>2571</v>
      </c>
    </row>
    <row r="903" spans="1:2" x14ac:dyDescent="0.25">
      <c r="A903" s="31" t="s">
        <v>424</v>
      </c>
      <c r="B903" s="32" t="s">
        <v>2572</v>
      </c>
    </row>
    <row r="904" spans="1:2" x14ac:dyDescent="0.25">
      <c r="A904" s="29" t="s">
        <v>2573</v>
      </c>
      <c r="B904" s="30" t="s">
        <v>2574</v>
      </c>
    </row>
    <row r="905" spans="1:2" x14ac:dyDescent="0.25">
      <c r="A905" s="31" t="s">
        <v>2575</v>
      </c>
      <c r="B905" s="32" t="s">
        <v>2576</v>
      </c>
    </row>
    <row r="906" spans="1:2" x14ac:dyDescent="0.25">
      <c r="A906" s="29" t="s">
        <v>2577</v>
      </c>
      <c r="B906" s="30" t="s">
        <v>2578</v>
      </c>
    </row>
    <row r="907" spans="1:2" x14ac:dyDescent="0.25">
      <c r="A907" s="31" t="s">
        <v>2579</v>
      </c>
      <c r="B907" s="32" t="s">
        <v>2580</v>
      </c>
    </row>
    <row r="908" spans="1:2" x14ac:dyDescent="0.25">
      <c r="A908" s="29" t="s">
        <v>2581</v>
      </c>
      <c r="B908" s="30" t="s">
        <v>2582</v>
      </c>
    </row>
    <row r="909" spans="1:2" x14ac:dyDescent="0.25">
      <c r="A909" s="31" t="s">
        <v>2583</v>
      </c>
      <c r="B909" s="32" t="s">
        <v>2584</v>
      </c>
    </row>
    <row r="910" spans="1:2" x14ac:dyDescent="0.25">
      <c r="A910" s="29" t="s">
        <v>2585</v>
      </c>
      <c r="B910" s="30" t="s">
        <v>2586</v>
      </c>
    </row>
    <row r="911" spans="1:2" x14ac:dyDescent="0.25">
      <c r="A911" s="31" t="s">
        <v>2587</v>
      </c>
      <c r="B911" s="32" t="s">
        <v>2588</v>
      </c>
    </row>
    <row r="912" spans="1:2" x14ac:dyDescent="0.25">
      <c r="A912" s="29" t="s">
        <v>2589</v>
      </c>
      <c r="B912" s="30" t="s">
        <v>2590</v>
      </c>
    </row>
    <row r="913" spans="1:2" x14ac:dyDescent="0.25">
      <c r="A913" s="31" t="s">
        <v>2591</v>
      </c>
      <c r="B913" s="32" t="s">
        <v>2592</v>
      </c>
    </row>
    <row r="914" spans="1:2" x14ac:dyDescent="0.25">
      <c r="A914" s="29" t="s">
        <v>2593</v>
      </c>
      <c r="B914" s="30" t="s">
        <v>2594</v>
      </c>
    </row>
    <row r="915" spans="1:2" x14ac:dyDescent="0.25">
      <c r="A915" s="31" t="s">
        <v>2595</v>
      </c>
      <c r="B915" s="32" t="s">
        <v>2596</v>
      </c>
    </row>
    <row r="916" spans="1:2" x14ac:dyDescent="0.25">
      <c r="A916" s="29" t="s">
        <v>2597</v>
      </c>
      <c r="B916" s="30" t="s">
        <v>2598</v>
      </c>
    </row>
    <row r="917" spans="1:2" x14ac:dyDescent="0.25">
      <c r="A917" s="31" t="s">
        <v>2599</v>
      </c>
      <c r="B917" s="32" t="s">
        <v>2600</v>
      </c>
    </row>
    <row r="918" spans="1:2" x14ac:dyDescent="0.25">
      <c r="A918" s="29" t="s">
        <v>2601</v>
      </c>
      <c r="B918" s="30" t="s">
        <v>2602</v>
      </c>
    </row>
    <row r="919" spans="1:2" x14ac:dyDescent="0.25">
      <c r="A919" s="31" t="s">
        <v>2603</v>
      </c>
      <c r="B919" s="32" t="s">
        <v>2604</v>
      </c>
    </row>
    <row r="920" spans="1:2" x14ac:dyDescent="0.25">
      <c r="A920" s="29" t="s">
        <v>2605</v>
      </c>
      <c r="B920" s="30" t="s">
        <v>2606</v>
      </c>
    </row>
    <row r="921" spans="1:2" x14ac:dyDescent="0.25">
      <c r="A921" s="29" t="s">
        <v>2607</v>
      </c>
      <c r="B921" s="30" t="s">
        <v>2608</v>
      </c>
    </row>
    <row r="922" spans="1:2" x14ac:dyDescent="0.25">
      <c r="A922" s="31" t="s">
        <v>2609</v>
      </c>
      <c r="B922" s="32" t="s">
        <v>2610</v>
      </c>
    </row>
    <row r="923" spans="1:2" x14ac:dyDescent="0.25">
      <c r="A923" s="29" t="s">
        <v>2611</v>
      </c>
      <c r="B923" s="30" t="s">
        <v>2612</v>
      </c>
    </row>
    <row r="924" spans="1:2" x14ac:dyDescent="0.25">
      <c r="A924" s="31" t="s">
        <v>2613</v>
      </c>
      <c r="B924" s="32" t="s">
        <v>2614</v>
      </c>
    </row>
    <row r="925" spans="1:2" x14ac:dyDescent="0.25">
      <c r="A925" s="29" t="s">
        <v>2615</v>
      </c>
      <c r="B925" s="30" t="s">
        <v>2616</v>
      </c>
    </row>
    <row r="926" spans="1:2" x14ac:dyDescent="0.25">
      <c r="A926" s="31" t="s">
        <v>2617</v>
      </c>
      <c r="B926" s="32" t="s">
        <v>2618</v>
      </c>
    </row>
    <row r="927" spans="1:2" x14ac:dyDescent="0.25">
      <c r="A927" s="29" t="s">
        <v>2619</v>
      </c>
      <c r="B927" s="30" t="s">
        <v>2620</v>
      </c>
    </row>
    <row r="928" spans="1:2" x14ac:dyDescent="0.25">
      <c r="A928" s="31" t="s">
        <v>2621</v>
      </c>
      <c r="B928" s="32" t="s">
        <v>2622</v>
      </c>
    </row>
    <row r="929" spans="1:2" x14ac:dyDescent="0.25">
      <c r="A929" s="29" t="s">
        <v>2623</v>
      </c>
      <c r="B929" s="30" t="s">
        <v>2624</v>
      </c>
    </row>
    <row r="930" spans="1:2" x14ac:dyDescent="0.25">
      <c r="A930" s="31" t="s">
        <v>2625</v>
      </c>
      <c r="B930" s="32" t="s">
        <v>2626</v>
      </c>
    </row>
    <row r="931" spans="1:2" x14ac:dyDescent="0.25">
      <c r="A931" s="29" t="s">
        <v>2627</v>
      </c>
      <c r="B931" s="30" t="s">
        <v>2628</v>
      </c>
    </row>
    <row r="932" spans="1:2" x14ac:dyDescent="0.25">
      <c r="A932" s="31" t="s">
        <v>2629</v>
      </c>
      <c r="B932" s="32" t="s">
        <v>2630</v>
      </c>
    </row>
    <row r="933" spans="1:2" x14ac:dyDescent="0.25">
      <c r="A933" s="29" t="s">
        <v>2631</v>
      </c>
      <c r="B933" s="30" t="s">
        <v>2632</v>
      </c>
    </row>
    <row r="934" spans="1:2" x14ac:dyDescent="0.25">
      <c r="A934" s="31" t="s">
        <v>180</v>
      </c>
      <c r="B934" s="32" t="s">
        <v>2633</v>
      </c>
    </row>
    <row r="935" spans="1:2" x14ac:dyDescent="0.25">
      <c r="A935" s="29" t="s">
        <v>633</v>
      </c>
      <c r="B935" s="30" t="s">
        <v>2634</v>
      </c>
    </row>
    <row r="936" spans="1:2" x14ac:dyDescent="0.25">
      <c r="A936" s="31" t="s">
        <v>533</v>
      </c>
      <c r="B936" s="32" t="s">
        <v>2635</v>
      </c>
    </row>
    <row r="937" spans="1:2" x14ac:dyDescent="0.25">
      <c r="A937" s="29" t="s">
        <v>2636</v>
      </c>
      <c r="B937" s="30" t="s">
        <v>2637</v>
      </c>
    </row>
    <row r="938" spans="1:2" x14ac:dyDescent="0.25">
      <c r="A938" s="31" t="s">
        <v>626</v>
      </c>
      <c r="B938" s="32" t="s">
        <v>2638</v>
      </c>
    </row>
    <row r="939" spans="1:2" x14ac:dyDescent="0.25">
      <c r="A939" s="29" t="s">
        <v>2639</v>
      </c>
      <c r="B939" s="30" t="s">
        <v>2640</v>
      </c>
    </row>
    <row r="940" spans="1:2" x14ac:dyDescent="0.25">
      <c r="A940" s="31" t="s">
        <v>2641</v>
      </c>
      <c r="B940" s="32" t="s">
        <v>2642</v>
      </c>
    </row>
    <row r="941" spans="1:2" x14ac:dyDescent="0.25">
      <c r="A941" s="29" t="s">
        <v>175</v>
      </c>
      <c r="B941" s="30" t="s">
        <v>2643</v>
      </c>
    </row>
    <row r="942" spans="1:2" x14ac:dyDescent="0.25">
      <c r="A942" s="31" t="s">
        <v>2644</v>
      </c>
      <c r="B942" s="32" t="s">
        <v>2645</v>
      </c>
    </row>
    <row r="943" spans="1:2" x14ac:dyDescent="0.25">
      <c r="A943" s="29" t="s">
        <v>2646</v>
      </c>
      <c r="B943" s="30" t="s">
        <v>2647</v>
      </c>
    </row>
    <row r="944" spans="1:2" x14ac:dyDescent="0.25">
      <c r="A944" s="31" t="s">
        <v>59</v>
      </c>
      <c r="B944" s="32" t="s">
        <v>2648</v>
      </c>
    </row>
    <row r="945" spans="1:2" x14ac:dyDescent="0.25">
      <c r="A945" s="29" t="s">
        <v>72</v>
      </c>
      <c r="B945" s="30" t="s">
        <v>2649</v>
      </c>
    </row>
    <row r="946" spans="1:2" x14ac:dyDescent="0.25">
      <c r="A946" s="31" t="s">
        <v>68</v>
      </c>
      <c r="B946" s="32" t="s">
        <v>2650</v>
      </c>
    </row>
    <row r="947" spans="1:2" x14ac:dyDescent="0.25">
      <c r="A947" s="29" t="s">
        <v>548</v>
      </c>
      <c r="B947" s="30" t="s">
        <v>2651</v>
      </c>
    </row>
    <row r="948" spans="1:2" x14ac:dyDescent="0.25">
      <c r="A948" s="31" t="s">
        <v>427</v>
      </c>
      <c r="B948" s="32" t="s">
        <v>2652</v>
      </c>
    </row>
    <row r="949" spans="1:2" x14ac:dyDescent="0.25">
      <c r="A949" s="29" t="s">
        <v>2653</v>
      </c>
      <c r="B949" s="30" t="s">
        <v>2654</v>
      </c>
    </row>
    <row r="950" spans="1:2" x14ac:dyDescent="0.25">
      <c r="A950" s="31" t="s">
        <v>2655</v>
      </c>
      <c r="B950" s="32" t="s">
        <v>2656</v>
      </c>
    </row>
    <row r="951" spans="1:2" x14ac:dyDescent="0.25">
      <c r="A951" s="29" t="s">
        <v>2657</v>
      </c>
      <c r="B951" s="30" t="s">
        <v>2658</v>
      </c>
    </row>
    <row r="952" spans="1:2" x14ac:dyDescent="0.25">
      <c r="A952" s="31" t="s">
        <v>65</v>
      </c>
      <c r="B952" s="32" t="s">
        <v>2659</v>
      </c>
    </row>
    <row r="953" spans="1:2" x14ac:dyDescent="0.25">
      <c r="A953" s="29" t="s">
        <v>56</v>
      </c>
      <c r="B953" s="30" t="s">
        <v>2660</v>
      </c>
    </row>
    <row r="954" spans="1:2" x14ac:dyDescent="0.25">
      <c r="A954" s="31" t="s">
        <v>2661</v>
      </c>
      <c r="B954" s="32" t="s">
        <v>2662</v>
      </c>
    </row>
    <row r="955" spans="1:2" x14ac:dyDescent="0.25">
      <c r="A955" s="29" t="s">
        <v>2663</v>
      </c>
      <c r="B955" s="30" t="s">
        <v>2664</v>
      </c>
    </row>
    <row r="956" spans="1:2" x14ac:dyDescent="0.25">
      <c r="A956" s="31" t="s">
        <v>2665</v>
      </c>
      <c r="B956" s="32" t="s">
        <v>2666</v>
      </c>
    </row>
    <row r="957" spans="1:2" x14ac:dyDescent="0.25">
      <c r="A957" s="29" t="s">
        <v>2667</v>
      </c>
      <c r="B957" s="30" t="s">
        <v>2668</v>
      </c>
    </row>
    <row r="958" spans="1:2" x14ac:dyDescent="0.25">
      <c r="A958" s="31" t="s">
        <v>2669</v>
      </c>
      <c r="B958" s="32" t="s">
        <v>2670</v>
      </c>
    </row>
    <row r="959" spans="1:2" x14ac:dyDescent="0.25">
      <c r="A959" s="29" t="s">
        <v>2671</v>
      </c>
      <c r="B959" s="30" t="s">
        <v>2672</v>
      </c>
    </row>
    <row r="960" spans="1:2" x14ac:dyDescent="0.25">
      <c r="A960" s="31" t="s">
        <v>2673</v>
      </c>
      <c r="B960" s="32" t="s">
        <v>2674</v>
      </c>
    </row>
    <row r="961" spans="1:2" x14ac:dyDescent="0.25">
      <c r="A961" s="29" t="s">
        <v>598</v>
      </c>
      <c r="B961" s="30" t="s">
        <v>2675</v>
      </c>
    </row>
    <row r="962" spans="1:2" x14ac:dyDescent="0.25">
      <c r="A962" s="29" t="s">
        <v>2676</v>
      </c>
      <c r="B962" s="30" t="s">
        <v>2677</v>
      </c>
    </row>
    <row r="963" spans="1:2" x14ac:dyDescent="0.25">
      <c r="A963" s="31" t="s">
        <v>2678</v>
      </c>
      <c r="B963" s="32" t="s">
        <v>2679</v>
      </c>
    </row>
    <row r="964" spans="1:2" x14ac:dyDescent="0.25">
      <c r="A964" s="29" t="s">
        <v>2680</v>
      </c>
      <c r="B964" s="30" t="s">
        <v>2681</v>
      </c>
    </row>
    <row r="965" spans="1:2" x14ac:dyDescent="0.25">
      <c r="A965" s="31" t="s">
        <v>2682</v>
      </c>
      <c r="B965" s="32" t="s">
        <v>2683</v>
      </c>
    </row>
    <row r="966" spans="1:2" x14ac:dyDescent="0.25">
      <c r="A966" s="29" t="s">
        <v>2684</v>
      </c>
      <c r="B966" s="30" t="s">
        <v>2685</v>
      </c>
    </row>
    <row r="967" spans="1:2" x14ac:dyDescent="0.25">
      <c r="A967" s="31" t="s">
        <v>2686</v>
      </c>
      <c r="B967" s="32" t="s">
        <v>2687</v>
      </c>
    </row>
    <row r="968" spans="1:2" x14ac:dyDescent="0.25">
      <c r="A968" s="29" t="s">
        <v>2688</v>
      </c>
      <c r="B968" s="30" t="s">
        <v>2689</v>
      </c>
    </row>
    <row r="969" spans="1:2" x14ac:dyDescent="0.25">
      <c r="A969" s="31" t="s">
        <v>2690</v>
      </c>
      <c r="B969" s="32" t="s">
        <v>2691</v>
      </c>
    </row>
    <row r="970" spans="1:2" x14ac:dyDescent="0.25">
      <c r="A970" s="29" t="s">
        <v>2692</v>
      </c>
      <c r="B970" s="30" t="s">
        <v>2693</v>
      </c>
    </row>
    <row r="971" spans="1:2" x14ac:dyDescent="0.25">
      <c r="A971" s="31" t="s">
        <v>2694</v>
      </c>
      <c r="B971" s="32" t="s">
        <v>2695</v>
      </c>
    </row>
    <row r="972" spans="1:2" x14ac:dyDescent="0.25">
      <c r="A972" s="29" t="s">
        <v>2696</v>
      </c>
      <c r="B972" s="30" t="s">
        <v>2697</v>
      </c>
    </row>
    <row r="973" spans="1:2" x14ac:dyDescent="0.25">
      <c r="A973" s="31" t="s">
        <v>2698</v>
      </c>
      <c r="B973" s="32" t="s">
        <v>2699</v>
      </c>
    </row>
    <row r="974" spans="1:2" x14ac:dyDescent="0.25">
      <c r="A974" s="29" t="s">
        <v>2700</v>
      </c>
      <c r="B974" s="30" t="s">
        <v>2701</v>
      </c>
    </row>
    <row r="975" spans="1:2" x14ac:dyDescent="0.25">
      <c r="A975" s="31" t="s">
        <v>2702</v>
      </c>
      <c r="B975" s="32" t="s">
        <v>2703</v>
      </c>
    </row>
    <row r="976" spans="1:2" x14ac:dyDescent="0.25">
      <c r="A976" s="29" t="s">
        <v>2704</v>
      </c>
      <c r="B976" s="30" t="s">
        <v>2705</v>
      </c>
    </row>
    <row r="977" spans="1:2" x14ac:dyDescent="0.25">
      <c r="A977" s="31" t="s">
        <v>2706</v>
      </c>
      <c r="B977" s="32" t="s">
        <v>2707</v>
      </c>
    </row>
    <row r="978" spans="1:2" x14ac:dyDescent="0.25">
      <c r="A978" s="29" t="s">
        <v>2708</v>
      </c>
      <c r="B978" s="30" t="s">
        <v>2709</v>
      </c>
    </row>
    <row r="979" spans="1:2" x14ac:dyDescent="0.25">
      <c r="A979" s="31" t="s">
        <v>2710</v>
      </c>
      <c r="B979" s="32" t="s">
        <v>2711</v>
      </c>
    </row>
    <row r="980" spans="1:2" x14ac:dyDescent="0.25">
      <c r="A980" s="29" t="s">
        <v>2712</v>
      </c>
      <c r="B980" s="30" t="s">
        <v>2713</v>
      </c>
    </row>
    <row r="981" spans="1:2" x14ac:dyDescent="0.25">
      <c r="A981" s="31" t="s">
        <v>2714</v>
      </c>
      <c r="B981" s="32" t="s">
        <v>2715</v>
      </c>
    </row>
    <row r="982" spans="1:2" x14ac:dyDescent="0.25">
      <c r="A982" s="29" t="s">
        <v>2716</v>
      </c>
      <c r="B982" s="30" t="s">
        <v>2717</v>
      </c>
    </row>
    <row r="983" spans="1:2" x14ac:dyDescent="0.25">
      <c r="A983" s="31" t="s">
        <v>223</v>
      </c>
      <c r="B983" s="32" t="s">
        <v>2718</v>
      </c>
    </row>
    <row r="984" spans="1:2" x14ac:dyDescent="0.25">
      <c r="A984" s="29" t="s">
        <v>2719</v>
      </c>
      <c r="B984" s="30" t="s">
        <v>2720</v>
      </c>
    </row>
    <row r="985" spans="1:2" x14ac:dyDescent="0.25">
      <c r="A985" s="31" t="s">
        <v>2721</v>
      </c>
      <c r="B985" s="32" t="s">
        <v>2722</v>
      </c>
    </row>
    <row r="986" spans="1:2" x14ac:dyDescent="0.25">
      <c r="A986" s="29" t="s">
        <v>2723</v>
      </c>
      <c r="B986" s="30" t="s">
        <v>2724</v>
      </c>
    </row>
    <row r="987" spans="1:2" x14ac:dyDescent="0.25">
      <c r="A987" s="31" t="s">
        <v>2725</v>
      </c>
      <c r="B987" s="32" t="s">
        <v>2726</v>
      </c>
    </row>
    <row r="988" spans="1:2" x14ac:dyDescent="0.25">
      <c r="A988" s="29" t="s">
        <v>2727</v>
      </c>
      <c r="B988" s="30" t="s">
        <v>2728</v>
      </c>
    </row>
    <row r="989" spans="1:2" x14ac:dyDescent="0.25">
      <c r="A989" s="31" t="s">
        <v>2729</v>
      </c>
      <c r="B989" s="32" t="s">
        <v>2730</v>
      </c>
    </row>
    <row r="990" spans="1:2" x14ac:dyDescent="0.25">
      <c r="A990" s="29" t="s">
        <v>2731</v>
      </c>
      <c r="B990" s="30" t="s">
        <v>2732</v>
      </c>
    </row>
    <row r="991" spans="1:2" x14ac:dyDescent="0.25">
      <c r="A991" s="31" t="s">
        <v>2733</v>
      </c>
      <c r="B991" s="32" t="s">
        <v>2734</v>
      </c>
    </row>
    <row r="992" spans="1:2" x14ac:dyDescent="0.25">
      <c r="A992" s="29" t="s">
        <v>2735</v>
      </c>
      <c r="B992" s="30" t="s">
        <v>2736</v>
      </c>
    </row>
    <row r="993" spans="1:2" x14ac:dyDescent="0.25">
      <c r="A993" s="31" t="s">
        <v>2737</v>
      </c>
      <c r="B993" s="32" t="s">
        <v>2738</v>
      </c>
    </row>
    <row r="994" spans="1:2" x14ac:dyDescent="0.25">
      <c r="A994" s="29" t="s">
        <v>2739</v>
      </c>
      <c r="B994" s="30" t="s">
        <v>2740</v>
      </c>
    </row>
    <row r="995" spans="1:2" x14ac:dyDescent="0.25">
      <c r="A995" s="31" t="s">
        <v>2741</v>
      </c>
      <c r="B995" s="32" t="s">
        <v>2742</v>
      </c>
    </row>
    <row r="996" spans="1:2" x14ac:dyDescent="0.25">
      <c r="A996" s="29" t="s">
        <v>2743</v>
      </c>
      <c r="B996" s="30" t="s">
        <v>2744</v>
      </c>
    </row>
    <row r="997" spans="1:2" x14ac:dyDescent="0.25">
      <c r="A997" s="31" t="s">
        <v>2745</v>
      </c>
      <c r="B997" s="32" t="s">
        <v>2746</v>
      </c>
    </row>
    <row r="998" spans="1:2" x14ac:dyDescent="0.25">
      <c r="A998" s="29" t="s">
        <v>2747</v>
      </c>
      <c r="B998" s="30" t="s">
        <v>2748</v>
      </c>
    </row>
    <row r="999" spans="1:2" x14ac:dyDescent="0.25">
      <c r="A999" s="31" t="s">
        <v>2749</v>
      </c>
      <c r="B999" s="32" t="s">
        <v>2750</v>
      </c>
    </row>
    <row r="1000" spans="1:2" x14ac:dyDescent="0.25">
      <c r="A1000" s="29" t="s">
        <v>2751</v>
      </c>
      <c r="B1000" s="30" t="s">
        <v>2752</v>
      </c>
    </row>
    <row r="1001" spans="1:2" x14ac:dyDescent="0.25">
      <c r="A1001" s="31" t="s">
        <v>2753</v>
      </c>
      <c r="B1001" s="32" t="s">
        <v>2754</v>
      </c>
    </row>
    <row r="1002" spans="1:2" x14ac:dyDescent="0.25">
      <c r="A1002" s="29" t="s">
        <v>2755</v>
      </c>
      <c r="B1002" s="30" t="s">
        <v>2756</v>
      </c>
    </row>
    <row r="1003" spans="1:2" x14ac:dyDescent="0.25">
      <c r="A1003" s="31" t="s">
        <v>2757</v>
      </c>
      <c r="B1003" s="32" t="s">
        <v>2758</v>
      </c>
    </row>
    <row r="1004" spans="1:2" x14ac:dyDescent="0.25">
      <c r="A1004" s="29" t="s">
        <v>2759</v>
      </c>
      <c r="B1004" s="30" t="s">
        <v>2760</v>
      </c>
    </row>
    <row r="1005" spans="1:2" x14ac:dyDescent="0.25">
      <c r="A1005" s="31" t="s">
        <v>2761</v>
      </c>
      <c r="B1005" s="32" t="s">
        <v>2762</v>
      </c>
    </row>
    <row r="1006" spans="1:2" x14ac:dyDescent="0.25">
      <c r="A1006" s="29" t="s">
        <v>526</v>
      </c>
      <c r="B1006" s="30" t="s">
        <v>2763</v>
      </c>
    </row>
    <row r="1007" spans="1:2" x14ac:dyDescent="0.25">
      <c r="A1007" s="31" t="s">
        <v>2764</v>
      </c>
      <c r="B1007" s="32" t="s">
        <v>2765</v>
      </c>
    </row>
    <row r="1008" spans="1:2" x14ac:dyDescent="0.25">
      <c r="A1008" s="29" t="s">
        <v>2766</v>
      </c>
      <c r="B1008" s="30" t="s">
        <v>2767</v>
      </c>
    </row>
    <row r="1009" spans="1:2" x14ac:dyDescent="0.25">
      <c r="A1009" s="31" t="s">
        <v>2768</v>
      </c>
      <c r="B1009" s="32" t="s">
        <v>2769</v>
      </c>
    </row>
    <row r="1010" spans="1:2" x14ac:dyDescent="0.25">
      <c r="A1010" s="29" t="s">
        <v>2770</v>
      </c>
      <c r="B1010" s="30" t="s">
        <v>2771</v>
      </c>
    </row>
    <row r="1011" spans="1:2" x14ac:dyDescent="0.25">
      <c r="A1011" s="31" t="s">
        <v>487</v>
      </c>
      <c r="B1011" s="32" t="s">
        <v>2772</v>
      </c>
    </row>
    <row r="1012" spans="1:2" x14ac:dyDescent="0.25">
      <c r="A1012" s="29" t="s">
        <v>2773</v>
      </c>
      <c r="B1012" s="30" t="s">
        <v>2774</v>
      </c>
    </row>
    <row r="1013" spans="1:2" x14ac:dyDescent="0.25">
      <c r="A1013" s="31" t="s">
        <v>2775</v>
      </c>
      <c r="B1013" s="32" t="s">
        <v>2776</v>
      </c>
    </row>
    <row r="1014" spans="1:2" x14ac:dyDescent="0.25">
      <c r="A1014" s="29" t="s">
        <v>2777</v>
      </c>
      <c r="B1014" s="30" t="s">
        <v>2778</v>
      </c>
    </row>
    <row r="1015" spans="1:2" x14ac:dyDescent="0.25">
      <c r="A1015" s="31" t="s">
        <v>2779</v>
      </c>
      <c r="B1015" s="32" t="s">
        <v>2780</v>
      </c>
    </row>
    <row r="1016" spans="1:2" x14ac:dyDescent="0.25">
      <c r="A1016" s="29" t="s">
        <v>2781</v>
      </c>
      <c r="B1016" s="30" t="s">
        <v>2782</v>
      </c>
    </row>
    <row r="1017" spans="1:2" x14ac:dyDescent="0.25">
      <c r="A1017" s="31" t="s">
        <v>2783</v>
      </c>
      <c r="B1017" s="32" t="s">
        <v>2784</v>
      </c>
    </row>
    <row r="1018" spans="1:2" x14ac:dyDescent="0.25">
      <c r="A1018" s="29" t="s">
        <v>2785</v>
      </c>
      <c r="B1018" s="30" t="s">
        <v>2786</v>
      </c>
    </row>
    <row r="1019" spans="1:2" x14ac:dyDescent="0.25">
      <c r="A1019" s="31" t="s">
        <v>2787</v>
      </c>
      <c r="B1019" s="32" t="s">
        <v>2788</v>
      </c>
    </row>
    <row r="1020" spans="1:2" x14ac:dyDescent="0.25">
      <c r="A1020" s="29" t="s">
        <v>2789</v>
      </c>
      <c r="B1020" s="30" t="s">
        <v>2790</v>
      </c>
    </row>
    <row r="1021" spans="1:2" x14ac:dyDescent="0.25">
      <c r="A1021" s="31" t="s">
        <v>2791</v>
      </c>
      <c r="B1021" s="32" t="s">
        <v>2792</v>
      </c>
    </row>
    <row r="1022" spans="1:2" x14ac:dyDescent="0.25">
      <c r="A1022" s="29" t="s">
        <v>2793</v>
      </c>
      <c r="B1022" s="30" t="s">
        <v>2794</v>
      </c>
    </row>
    <row r="1023" spans="1:2" x14ac:dyDescent="0.25">
      <c r="A1023" s="31" t="s">
        <v>2795</v>
      </c>
      <c r="B1023" s="32" t="s">
        <v>2796</v>
      </c>
    </row>
    <row r="1024" spans="1:2" x14ac:dyDescent="0.25">
      <c r="A1024" s="29" t="s">
        <v>2797</v>
      </c>
      <c r="B1024" s="30" t="s">
        <v>2798</v>
      </c>
    </row>
    <row r="1025" spans="1:2" x14ac:dyDescent="0.25">
      <c r="A1025" s="31" t="s">
        <v>2799</v>
      </c>
      <c r="B1025" s="32" t="s">
        <v>2800</v>
      </c>
    </row>
    <row r="1026" spans="1:2" x14ac:dyDescent="0.25">
      <c r="A1026" s="29" t="s">
        <v>647</v>
      </c>
      <c r="B1026" s="30" t="s">
        <v>2801</v>
      </c>
    </row>
    <row r="1027" spans="1:2" x14ac:dyDescent="0.25">
      <c r="A1027" s="31" t="s">
        <v>2802</v>
      </c>
      <c r="B1027" s="32" t="s">
        <v>2803</v>
      </c>
    </row>
    <row r="1028" spans="1:2" x14ac:dyDescent="0.25">
      <c r="A1028" s="29" t="s">
        <v>2804</v>
      </c>
      <c r="B1028" s="30" t="s">
        <v>2805</v>
      </c>
    </row>
    <row r="1029" spans="1:2" x14ac:dyDescent="0.25">
      <c r="A1029" s="31" t="s">
        <v>2806</v>
      </c>
      <c r="B1029" s="32" t="s">
        <v>2807</v>
      </c>
    </row>
    <row r="1030" spans="1:2" x14ac:dyDescent="0.25">
      <c r="A1030" s="29" t="s">
        <v>2808</v>
      </c>
      <c r="B1030" s="30" t="s">
        <v>2809</v>
      </c>
    </row>
    <row r="1031" spans="1:2" x14ac:dyDescent="0.25">
      <c r="A1031" s="31" t="s">
        <v>2810</v>
      </c>
      <c r="B1031" s="32" t="s">
        <v>2811</v>
      </c>
    </row>
    <row r="1032" spans="1:2" x14ac:dyDescent="0.25">
      <c r="A1032" s="29" t="s">
        <v>2812</v>
      </c>
      <c r="B1032" s="30" t="s">
        <v>2813</v>
      </c>
    </row>
    <row r="1033" spans="1:2" x14ac:dyDescent="0.25">
      <c r="A1033" s="31" t="s">
        <v>2814</v>
      </c>
      <c r="B1033" s="32" t="s">
        <v>2815</v>
      </c>
    </row>
    <row r="1034" spans="1:2" x14ac:dyDescent="0.25">
      <c r="A1034" s="29" t="s">
        <v>2816</v>
      </c>
      <c r="B1034" s="30" t="s">
        <v>2817</v>
      </c>
    </row>
    <row r="1035" spans="1:2" x14ac:dyDescent="0.25">
      <c r="A1035" s="31" t="s">
        <v>2818</v>
      </c>
      <c r="B1035" s="32" t="s">
        <v>2819</v>
      </c>
    </row>
    <row r="1036" spans="1:2" x14ac:dyDescent="0.25">
      <c r="A1036" s="29" t="s">
        <v>2820</v>
      </c>
      <c r="B1036" s="30" t="s">
        <v>2821</v>
      </c>
    </row>
    <row r="1037" spans="1:2" x14ac:dyDescent="0.25">
      <c r="A1037" s="31" t="s">
        <v>2822</v>
      </c>
      <c r="B1037" s="32" t="s">
        <v>2823</v>
      </c>
    </row>
    <row r="1038" spans="1:2" x14ac:dyDescent="0.25">
      <c r="A1038" s="29" t="s">
        <v>2824</v>
      </c>
      <c r="B1038" s="30" t="s">
        <v>2825</v>
      </c>
    </row>
    <row r="1039" spans="1:2" x14ac:dyDescent="0.25">
      <c r="A1039" s="31" t="s">
        <v>2826</v>
      </c>
      <c r="B1039" s="32" t="s">
        <v>2827</v>
      </c>
    </row>
    <row r="1040" spans="1:2" x14ac:dyDescent="0.25">
      <c r="A1040" s="29" t="s">
        <v>2828</v>
      </c>
      <c r="B1040" s="30" t="s">
        <v>2829</v>
      </c>
    </row>
    <row r="1041" spans="1:2" x14ac:dyDescent="0.25">
      <c r="A1041" s="31" t="s">
        <v>2830</v>
      </c>
      <c r="B1041" s="32" t="s">
        <v>2831</v>
      </c>
    </row>
    <row r="1042" spans="1:2" x14ac:dyDescent="0.25">
      <c r="A1042" s="29" t="s">
        <v>2832</v>
      </c>
      <c r="B1042" s="30" t="s">
        <v>2833</v>
      </c>
    </row>
    <row r="1043" spans="1:2" x14ac:dyDescent="0.25">
      <c r="A1043" s="31" t="s">
        <v>2834</v>
      </c>
      <c r="B1043" s="32" t="s">
        <v>2835</v>
      </c>
    </row>
    <row r="1044" spans="1:2" x14ac:dyDescent="0.25">
      <c r="A1044" s="29" t="s">
        <v>2836</v>
      </c>
      <c r="B1044" s="30" t="s">
        <v>2837</v>
      </c>
    </row>
    <row r="1045" spans="1:2" x14ac:dyDescent="0.25">
      <c r="A1045" s="31" t="s">
        <v>2838</v>
      </c>
      <c r="B1045" s="32" t="s">
        <v>2839</v>
      </c>
    </row>
    <row r="1046" spans="1:2" x14ac:dyDescent="0.25">
      <c r="A1046" s="29" t="s">
        <v>2840</v>
      </c>
      <c r="B1046" s="30" t="s">
        <v>2841</v>
      </c>
    </row>
    <row r="1047" spans="1:2" x14ac:dyDescent="0.25">
      <c r="A1047" s="31" t="s">
        <v>62</v>
      </c>
      <c r="B1047" s="32" t="s">
        <v>2842</v>
      </c>
    </row>
    <row r="1048" spans="1:2" x14ac:dyDescent="0.25">
      <c r="A1048" s="29" t="s">
        <v>2843</v>
      </c>
      <c r="B1048" s="30" t="s">
        <v>2844</v>
      </c>
    </row>
    <row r="1049" spans="1:2" x14ac:dyDescent="0.25">
      <c r="A1049" s="31" t="s">
        <v>2845</v>
      </c>
      <c r="B1049" s="32" t="s">
        <v>2846</v>
      </c>
    </row>
    <row r="1050" spans="1:2" x14ac:dyDescent="0.25">
      <c r="A1050" s="29" t="s">
        <v>2847</v>
      </c>
      <c r="B1050" s="30" t="s">
        <v>2848</v>
      </c>
    </row>
    <row r="1051" spans="1:2" x14ac:dyDescent="0.25">
      <c r="A1051" s="31" t="s">
        <v>2849</v>
      </c>
      <c r="B1051" s="32" t="s">
        <v>2850</v>
      </c>
    </row>
    <row r="1052" spans="1:2" x14ac:dyDescent="0.25">
      <c r="A1052" s="29" t="s">
        <v>2851</v>
      </c>
      <c r="B1052" s="30" t="s">
        <v>2852</v>
      </c>
    </row>
    <row r="1053" spans="1:2" x14ac:dyDescent="0.25">
      <c r="A1053" s="31" t="s">
        <v>2853</v>
      </c>
      <c r="B1053" s="32" t="s">
        <v>2854</v>
      </c>
    </row>
    <row r="1054" spans="1:2" x14ac:dyDescent="0.25">
      <c r="A1054" s="29" t="s">
        <v>201</v>
      </c>
      <c r="B1054" s="30" t="s">
        <v>2855</v>
      </c>
    </row>
    <row r="1055" spans="1:2" x14ac:dyDescent="0.25">
      <c r="A1055" s="31" t="s">
        <v>2856</v>
      </c>
      <c r="B1055" s="32" t="s">
        <v>2857</v>
      </c>
    </row>
    <row r="1056" spans="1:2" x14ac:dyDescent="0.25">
      <c r="A1056" s="29" t="s">
        <v>2858</v>
      </c>
      <c r="B1056" s="30" t="s">
        <v>2859</v>
      </c>
    </row>
    <row r="1057" spans="1:2" x14ac:dyDescent="0.25">
      <c r="A1057" s="31" t="s">
        <v>2860</v>
      </c>
      <c r="B1057" s="32" t="s">
        <v>2861</v>
      </c>
    </row>
    <row r="1058" spans="1:2" x14ac:dyDescent="0.25">
      <c r="A1058" s="29" t="s">
        <v>2862</v>
      </c>
      <c r="B1058" s="30" t="s">
        <v>2863</v>
      </c>
    </row>
    <row r="1059" spans="1:2" x14ac:dyDescent="0.25">
      <c r="A1059" s="31" t="s">
        <v>2864</v>
      </c>
      <c r="B1059" s="32" t="s">
        <v>2865</v>
      </c>
    </row>
    <row r="1060" spans="1:2" x14ac:dyDescent="0.25">
      <c r="A1060" s="29" t="s">
        <v>2866</v>
      </c>
      <c r="B1060" s="30" t="s">
        <v>2867</v>
      </c>
    </row>
    <row r="1061" spans="1:2" x14ac:dyDescent="0.25">
      <c r="A1061" s="31" t="s">
        <v>2868</v>
      </c>
      <c r="B1061" s="32" t="s">
        <v>2869</v>
      </c>
    </row>
    <row r="1062" spans="1:2" x14ac:dyDescent="0.25">
      <c r="A1062" s="29" t="s">
        <v>129</v>
      </c>
      <c r="B1062" s="30" t="s">
        <v>2870</v>
      </c>
    </row>
    <row r="1063" spans="1:2" x14ac:dyDescent="0.25">
      <c r="A1063" s="31" t="s">
        <v>2871</v>
      </c>
      <c r="B1063" s="32" t="s">
        <v>2872</v>
      </c>
    </row>
    <row r="1064" spans="1:2" x14ac:dyDescent="0.25">
      <c r="A1064" s="29" t="s">
        <v>2873</v>
      </c>
      <c r="B1064" s="30" t="s">
        <v>2874</v>
      </c>
    </row>
    <row r="1065" spans="1:2" x14ac:dyDescent="0.25">
      <c r="A1065" s="31" t="s">
        <v>2875</v>
      </c>
      <c r="B1065" s="32" t="s">
        <v>2876</v>
      </c>
    </row>
    <row r="1066" spans="1:2" x14ac:dyDescent="0.25">
      <c r="A1066" s="29" t="s">
        <v>2877</v>
      </c>
      <c r="B1066" s="30" t="s">
        <v>2878</v>
      </c>
    </row>
    <row r="1067" spans="1:2" x14ac:dyDescent="0.25">
      <c r="A1067" s="31" t="s">
        <v>2879</v>
      </c>
      <c r="B1067" s="32" t="s">
        <v>2880</v>
      </c>
    </row>
    <row r="1068" spans="1:2" x14ac:dyDescent="0.25">
      <c r="A1068" s="29" t="s">
        <v>2881</v>
      </c>
      <c r="B1068" s="30" t="s">
        <v>2882</v>
      </c>
    </row>
    <row r="1069" spans="1:2" x14ac:dyDescent="0.25">
      <c r="A1069" s="31" t="s">
        <v>2883</v>
      </c>
      <c r="B1069" s="32" t="s">
        <v>2884</v>
      </c>
    </row>
    <row r="1070" spans="1:2" x14ac:dyDescent="0.25">
      <c r="A1070" s="29" t="s">
        <v>2885</v>
      </c>
      <c r="B1070" s="30" t="s">
        <v>2886</v>
      </c>
    </row>
    <row r="1071" spans="1:2" x14ac:dyDescent="0.25">
      <c r="A1071" s="31" t="s">
        <v>2887</v>
      </c>
      <c r="B1071" s="32" t="s">
        <v>2888</v>
      </c>
    </row>
    <row r="1072" spans="1:2" x14ac:dyDescent="0.25">
      <c r="A1072" s="29" t="s">
        <v>2889</v>
      </c>
      <c r="B1072" s="30" t="s">
        <v>2890</v>
      </c>
    </row>
    <row r="1073" spans="1:2" x14ac:dyDescent="0.25">
      <c r="A1073" s="31" t="s">
        <v>2891</v>
      </c>
      <c r="B1073" s="32" t="s">
        <v>2892</v>
      </c>
    </row>
    <row r="1074" spans="1:2" x14ac:dyDescent="0.25">
      <c r="A1074" s="29" t="s">
        <v>2893</v>
      </c>
      <c r="B1074" s="30" t="s">
        <v>2894</v>
      </c>
    </row>
    <row r="1075" spans="1:2" x14ac:dyDescent="0.25">
      <c r="A1075" s="31" t="s">
        <v>2895</v>
      </c>
      <c r="B1075" s="32" t="s">
        <v>2896</v>
      </c>
    </row>
    <row r="1076" spans="1:2" x14ac:dyDescent="0.25">
      <c r="A1076" s="29" t="s">
        <v>454</v>
      </c>
      <c r="B1076" s="30" t="s">
        <v>2897</v>
      </c>
    </row>
    <row r="1077" spans="1:2" x14ac:dyDescent="0.25">
      <c r="A1077" s="31" t="s">
        <v>2898</v>
      </c>
      <c r="B1077" s="32" t="s">
        <v>2899</v>
      </c>
    </row>
    <row r="1078" spans="1:2" x14ac:dyDescent="0.25">
      <c r="A1078" s="29" t="s">
        <v>2900</v>
      </c>
      <c r="B1078" s="30" t="s">
        <v>2901</v>
      </c>
    </row>
    <row r="1079" spans="1:2" x14ac:dyDescent="0.25">
      <c r="A1079" s="31" t="s">
        <v>2902</v>
      </c>
      <c r="B1079" s="32" t="s">
        <v>2903</v>
      </c>
    </row>
    <row r="1080" spans="1:2" x14ac:dyDescent="0.25">
      <c r="A1080" s="29" t="s">
        <v>2904</v>
      </c>
      <c r="B1080" s="30" t="s">
        <v>2905</v>
      </c>
    </row>
    <row r="1081" spans="1:2" x14ac:dyDescent="0.25">
      <c r="A1081" s="31" t="s">
        <v>2906</v>
      </c>
      <c r="B1081" s="32" t="s">
        <v>2907</v>
      </c>
    </row>
    <row r="1082" spans="1:2" x14ac:dyDescent="0.25">
      <c r="A1082" s="29" t="s">
        <v>2908</v>
      </c>
      <c r="B1082" s="30" t="s">
        <v>2909</v>
      </c>
    </row>
    <row r="1083" spans="1:2" x14ac:dyDescent="0.25">
      <c r="A1083" s="31" t="s">
        <v>2910</v>
      </c>
      <c r="B1083" s="32" t="s">
        <v>2911</v>
      </c>
    </row>
    <row r="1084" spans="1:2" x14ac:dyDescent="0.25">
      <c r="A1084" s="29" t="s">
        <v>2912</v>
      </c>
      <c r="B1084" s="30" t="s">
        <v>2913</v>
      </c>
    </row>
    <row r="1085" spans="1:2" x14ac:dyDescent="0.25">
      <c r="A1085" s="31" t="s">
        <v>2914</v>
      </c>
      <c r="B1085" s="32" t="s">
        <v>2915</v>
      </c>
    </row>
    <row r="1086" spans="1:2" x14ac:dyDescent="0.25">
      <c r="A1086" s="29" t="s">
        <v>2916</v>
      </c>
      <c r="B1086" s="30" t="s">
        <v>2917</v>
      </c>
    </row>
    <row r="1087" spans="1:2" x14ac:dyDescent="0.25">
      <c r="A1087" s="31" t="s">
        <v>2918</v>
      </c>
      <c r="B1087" s="32" t="s">
        <v>2919</v>
      </c>
    </row>
    <row r="1088" spans="1:2" x14ac:dyDescent="0.25">
      <c r="A1088" s="29" t="s">
        <v>2920</v>
      </c>
      <c r="B1088" s="30" t="s">
        <v>2921</v>
      </c>
    </row>
    <row r="1089" spans="1:2" x14ac:dyDescent="0.25">
      <c r="A1089" s="31" t="s">
        <v>2922</v>
      </c>
      <c r="B1089" s="32" t="s">
        <v>2923</v>
      </c>
    </row>
    <row r="1090" spans="1:2" x14ac:dyDescent="0.25">
      <c r="A1090" s="29" t="s">
        <v>539</v>
      </c>
      <c r="B1090" s="30" t="s">
        <v>2924</v>
      </c>
    </row>
    <row r="1091" spans="1:2" x14ac:dyDescent="0.25">
      <c r="A1091" s="31" t="s">
        <v>2925</v>
      </c>
      <c r="B1091" s="32" t="s">
        <v>2926</v>
      </c>
    </row>
    <row r="1092" spans="1:2" x14ac:dyDescent="0.25">
      <c r="A1092" s="29" t="s">
        <v>2927</v>
      </c>
      <c r="B1092" s="30" t="s">
        <v>2928</v>
      </c>
    </row>
    <row r="1093" spans="1:2" x14ac:dyDescent="0.25">
      <c r="A1093" s="31" t="s">
        <v>2929</v>
      </c>
      <c r="B1093" s="32" t="s">
        <v>2930</v>
      </c>
    </row>
    <row r="1094" spans="1:2" x14ac:dyDescent="0.25">
      <c r="A1094" s="29" t="s">
        <v>2931</v>
      </c>
      <c r="B1094" s="30" t="s">
        <v>2932</v>
      </c>
    </row>
    <row r="1095" spans="1:2" x14ac:dyDescent="0.25">
      <c r="A1095" s="31" t="s">
        <v>2933</v>
      </c>
      <c r="B1095" s="32" t="s">
        <v>2934</v>
      </c>
    </row>
    <row r="1096" spans="1:2" x14ac:dyDescent="0.25">
      <c r="A1096" s="29" t="s">
        <v>2935</v>
      </c>
      <c r="B1096" s="30" t="s">
        <v>2936</v>
      </c>
    </row>
    <row r="1097" spans="1:2" x14ac:dyDescent="0.25">
      <c r="A1097" s="31" t="s">
        <v>2937</v>
      </c>
      <c r="B1097" s="32" t="s">
        <v>2938</v>
      </c>
    </row>
    <row r="1098" spans="1:2" x14ac:dyDescent="0.25">
      <c r="A1098" s="29" t="s">
        <v>2939</v>
      </c>
      <c r="B1098" s="30" t="s">
        <v>2940</v>
      </c>
    </row>
    <row r="1099" spans="1:2" x14ac:dyDescent="0.25">
      <c r="A1099" s="31" t="s">
        <v>2941</v>
      </c>
      <c r="B1099" s="32" t="s">
        <v>2942</v>
      </c>
    </row>
    <row r="1100" spans="1:2" x14ac:dyDescent="0.25">
      <c r="A1100" s="29" t="s">
        <v>2943</v>
      </c>
      <c r="B1100" s="30" t="s">
        <v>2944</v>
      </c>
    </row>
    <row r="1101" spans="1:2" x14ac:dyDescent="0.25">
      <c r="A1101" s="31" t="s">
        <v>2945</v>
      </c>
      <c r="B1101" s="32" t="s">
        <v>2946</v>
      </c>
    </row>
    <row r="1102" spans="1:2" x14ac:dyDescent="0.25">
      <c r="A1102" s="29" t="s">
        <v>2947</v>
      </c>
      <c r="B1102" s="30" t="s">
        <v>2948</v>
      </c>
    </row>
    <row r="1103" spans="1:2" x14ac:dyDescent="0.25">
      <c r="A1103" s="31" t="s">
        <v>2949</v>
      </c>
      <c r="B1103" s="32" t="s">
        <v>2950</v>
      </c>
    </row>
    <row r="1104" spans="1:2" x14ac:dyDescent="0.25">
      <c r="A1104" s="29" t="s">
        <v>2951</v>
      </c>
      <c r="B1104" s="30" t="s">
        <v>2952</v>
      </c>
    </row>
    <row r="1105" spans="1:2" x14ac:dyDescent="0.25">
      <c r="A1105" s="31" t="s">
        <v>2953</v>
      </c>
      <c r="B1105" s="32" t="s">
        <v>2954</v>
      </c>
    </row>
    <row r="1106" spans="1:2" x14ac:dyDescent="0.25">
      <c r="A1106" s="29" t="s">
        <v>2955</v>
      </c>
      <c r="B1106" s="30" t="s">
        <v>2956</v>
      </c>
    </row>
    <row r="1107" spans="1:2" x14ac:dyDescent="0.25">
      <c r="A1107" s="31" t="s">
        <v>2957</v>
      </c>
      <c r="B1107" s="32" t="s">
        <v>2958</v>
      </c>
    </row>
    <row r="1108" spans="1:2" x14ac:dyDescent="0.25">
      <c r="A1108" s="29" t="s">
        <v>2959</v>
      </c>
      <c r="B1108" s="30" t="s">
        <v>2960</v>
      </c>
    </row>
    <row r="1109" spans="1:2" x14ac:dyDescent="0.25">
      <c r="A1109" s="31" t="s">
        <v>2961</v>
      </c>
      <c r="B1109" s="32" t="s">
        <v>2962</v>
      </c>
    </row>
    <row r="1110" spans="1:2" x14ac:dyDescent="0.25">
      <c r="A1110" s="29" t="s">
        <v>2963</v>
      </c>
      <c r="B1110" s="30" t="s">
        <v>2964</v>
      </c>
    </row>
    <row r="1111" spans="1:2" x14ac:dyDescent="0.25">
      <c r="A1111" s="31" t="s">
        <v>2965</v>
      </c>
      <c r="B1111" s="32" t="s">
        <v>2966</v>
      </c>
    </row>
    <row r="1112" spans="1:2" x14ac:dyDescent="0.25">
      <c r="A1112" s="29" t="s">
        <v>2967</v>
      </c>
      <c r="B1112" s="30" t="s">
        <v>2968</v>
      </c>
    </row>
    <row r="1113" spans="1:2" x14ac:dyDescent="0.25">
      <c r="A1113" s="31" t="s">
        <v>2969</v>
      </c>
      <c r="B1113" s="32" t="s">
        <v>2970</v>
      </c>
    </row>
    <row r="1114" spans="1:2" x14ac:dyDescent="0.25">
      <c r="A1114" s="29" t="s">
        <v>2971</v>
      </c>
      <c r="B1114" s="30" t="s">
        <v>2972</v>
      </c>
    </row>
    <row r="1115" spans="1:2" x14ac:dyDescent="0.25">
      <c r="A1115" s="31" t="s">
        <v>2973</v>
      </c>
      <c r="B1115" s="32" t="s">
        <v>2974</v>
      </c>
    </row>
    <row r="1116" spans="1:2" x14ac:dyDescent="0.25">
      <c r="A1116" s="29" t="s">
        <v>447</v>
      </c>
      <c r="B1116" s="30" t="s">
        <v>2975</v>
      </c>
    </row>
    <row r="1117" spans="1:2" x14ac:dyDescent="0.25">
      <c r="A1117" s="31" t="s">
        <v>2976</v>
      </c>
      <c r="B1117" s="32" t="s">
        <v>2977</v>
      </c>
    </row>
    <row r="1118" spans="1:2" x14ac:dyDescent="0.25">
      <c r="A1118" s="29" t="s">
        <v>2978</v>
      </c>
      <c r="B1118" s="30" t="s">
        <v>2979</v>
      </c>
    </row>
    <row r="1119" spans="1:2" x14ac:dyDescent="0.25">
      <c r="A1119" s="31" t="s">
        <v>2980</v>
      </c>
      <c r="B1119" s="32" t="s">
        <v>2981</v>
      </c>
    </row>
    <row r="1120" spans="1:2" x14ac:dyDescent="0.25">
      <c r="A1120" s="29" t="s">
        <v>2982</v>
      </c>
      <c r="B1120" s="30" t="s">
        <v>2983</v>
      </c>
    </row>
    <row r="1121" spans="1:2" x14ac:dyDescent="0.25">
      <c r="A1121" s="31" t="s">
        <v>244</v>
      </c>
      <c r="B1121" s="32" t="s">
        <v>2984</v>
      </c>
    </row>
    <row r="1122" spans="1:2" x14ac:dyDescent="0.25">
      <c r="A1122" s="29" t="s">
        <v>2985</v>
      </c>
      <c r="B1122" s="30" t="s">
        <v>2986</v>
      </c>
    </row>
    <row r="1123" spans="1:2" x14ac:dyDescent="0.25">
      <c r="A1123" s="31" t="s">
        <v>2987</v>
      </c>
      <c r="B1123" s="32" t="s">
        <v>2988</v>
      </c>
    </row>
    <row r="1124" spans="1:2" x14ac:dyDescent="0.25">
      <c r="A1124" s="29" t="s">
        <v>2989</v>
      </c>
      <c r="B1124" s="30" t="s">
        <v>2990</v>
      </c>
    </row>
    <row r="1125" spans="1:2" x14ac:dyDescent="0.25">
      <c r="A1125" s="31" t="s">
        <v>2991</v>
      </c>
      <c r="B1125" s="32" t="s">
        <v>2992</v>
      </c>
    </row>
    <row r="1126" spans="1:2" x14ac:dyDescent="0.25">
      <c r="A1126" s="29" t="s">
        <v>2993</v>
      </c>
      <c r="B1126" s="30" t="s">
        <v>2994</v>
      </c>
    </row>
    <row r="1127" spans="1:2" x14ac:dyDescent="0.25">
      <c r="A1127" s="31" t="s">
        <v>2995</v>
      </c>
      <c r="B1127" s="32" t="s">
        <v>2996</v>
      </c>
    </row>
    <row r="1128" spans="1:2" x14ac:dyDescent="0.25">
      <c r="A1128" s="29" t="s">
        <v>2997</v>
      </c>
      <c r="B1128" s="30" t="s">
        <v>2998</v>
      </c>
    </row>
    <row r="1129" spans="1:2" x14ac:dyDescent="0.25">
      <c r="A1129" s="31" t="s">
        <v>2999</v>
      </c>
      <c r="B1129" s="32" t="s">
        <v>3000</v>
      </c>
    </row>
    <row r="1130" spans="1:2" x14ac:dyDescent="0.25">
      <c r="A1130" s="29" t="s">
        <v>3001</v>
      </c>
      <c r="B1130" s="30" t="s">
        <v>3002</v>
      </c>
    </row>
    <row r="1131" spans="1:2" x14ac:dyDescent="0.25">
      <c r="A1131" s="31" t="s">
        <v>3003</v>
      </c>
      <c r="B1131" s="32" t="s">
        <v>3004</v>
      </c>
    </row>
    <row r="1132" spans="1:2" x14ac:dyDescent="0.25">
      <c r="A1132" s="29" t="s">
        <v>3005</v>
      </c>
      <c r="B1132" s="30" t="s">
        <v>3006</v>
      </c>
    </row>
    <row r="1133" spans="1:2" x14ac:dyDescent="0.25">
      <c r="A1133" s="31" t="s">
        <v>3007</v>
      </c>
      <c r="B1133" s="32" t="s">
        <v>3008</v>
      </c>
    </row>
    <row r="1134" spans="1:2" x14ac:dyDescent="0.25">
      <c r="A1134" s="29" t="s">
        <v>3009</v>
      </c>
      <c r="B1134" s="30" t="s">
        <v>3010</v>
      </c>
    </row>
    <row r="1135" spans="1:2" x14ac:dyDescent="0.25">
      <c r="A1135" s="31" t="s">
        <v>3011</v>
      </c>
      <c r="B1135" s="32" t="s">
        <v>3012</v>
      </c>
    </row>
    <row r="1136" spans="1:2" x14ac:dyDescent="0.25">
      <c r="A1136" s="29" t="s">
        <v>3013</v>
      </c>
      <c r="B1136" s="30" t="s">
        <v>3014</v>
      </c>
    </row>
    <row r="1137" spans="1:2" x14ac:dyDescent="0.25">
      <c r="A1137" s="31" t="s">
        <v>3015</v>
      </c>
      <c r="B1137" s="32" t="s">
        <v>3016</v>
      </c>
    </row>
    <row r="1138" spans="1:2" x14ac:dyDescent="0.25">
      <c r="A1138" s="29" t="s">
        <v>3017</v>
      </c>
      <c r="B1138" s="30" t="s">
        <v>3018</v>
      </c>
    </row>
    <row r="1139" spans="1:2" x14ac:dyDescent="0.25">
      <c r="A1139" s="31" t="s">
        <v>3019</v>
      </c>
      <c r="B1139" s="32" t="s">
        <v>3020</v>
      </c>
    </row>
    <row r="1140" spans="1:2" x14ac:dyDescent="0.25">
      <c r="A1140" s="29" t="s">
        <v>3021</v>
      </c>
      <c r="B1140" s="30" t="s">
        <v>3022</v>
      </c>
    </row>
    <row r="1141" spans="1:2" x14ac:dyDescent="0.25">
      <c r="A1141" s="31" t="s">
        <v>3023</v>
      </c>
      <c r="B1141" s="32" t="s">
        <v>3024</v>
      </c>
    </row>
    <row r="1142" spans="1:2" x14ac:dyDescent="0.25">
      <c r="A1142" s="29" t="s">
        <v>3025</v>
      </c>
      <c r="B1142" s="30" t="s">
        <v>3026</v>
      </c>
    </row>
    <row r="1143" spans="1:2" x14ac:dyDescent="0.25">
      <c r="A1143" s="31" t="s">
        <v>667</v>
      </c>
      <c r="B1143" s="32" t="s">
        <v>3027</v>
      </c>
    </row>
    <row r="1144" spans="1:2" x14ac:dyDescent="0.25">
      <c r="A1144" s="29" t="s">
        <v>3028</v>
      </c>
      <c r="B1144" s="30" t="s">
        <v>3029</v>
      </c>
    </row>
    <row r="1145" spans="1:2" x14ac:dyDescent="0.25">
      <c r="A1145" s="29" t="s">
        <v>3030</v>
      </c>
      <c r="B1145" s="30" t="s">
        <v>3031</v>
      </c>
    </row>
    <row r="1146" spans="1:2" x14ac:dyDescent="0.25">
      <c r="A1146" s="31" t="s">
        <v>3032</v>
      </c>
      <c r="B1146" s="32" t="s">
        <v>3033</v>
      </c>
    </row>
    <row r="1147" spans="1:2" x14ac:dyDescent="0.25">
      <c r="A1147" s="29" t="s">
        <v>3034</v>
      </c>
      <c r="B1147" s="30" t="s">
        <v>3035</v>
      </c>
    </row>
    <row r="1148" spans="1:2" x14ac:dyDescent="0.25">
      <c r="A1148" s="31" t="s">
        <v>3036</v>
      </c>
      <c r="B1148" s="32" t="s">
        <v>3037</v>
      </c>
    </row>
    <row r="1149" spans="1:2" x14ac:dyDescent="0.25">
      <c r="A1149" s="29" t="s">
        <v>3038</v>
      </c>
      <c r="B1149" s="30" t="s">
        <v>3039</v>
      </c>
    </row>
    <row r="1150" spans="1:2" x14ac:dyDescent="0.25">
      <c r="A1150" s="31" t="s">
        <v>3040</v>
      </c>
      <c r="B1150" s="32" t="s">
        <v>3041</v>
      </c>
    </row>
    <row r="1151" spans="1:2" x14ac:dyDescent="0.25">
      <c r="A1151" s="29" t="s">
        <v>3042</v>
      </c>
      <c r="B1151" s="30" t="s">
        <v>3043</v>
      </c>
    </row>
    <row r="1152" spans="1:2" x14ac:dyDescent="0.25">
      <c r="A1152" s="31" t="s">
        <v>3044</v>
      </c>
      <c r="B1152" s="32" t="s">
        <v>3045</v>
      </c>
    </row>
    <row r="1153" spans="1:2" x14ac:dyDescent="0.25">
      <c r="A1153" s="29" t="s">
        <v>3046</v>
      </c>
      <c r="B1153" s="30" t="s">
        <v>3047</v>
      </c>
    </row>
    <row r="1154" spans="1:2" x14ac:dyDescent="0.25">
      <c r="A1154" s="31" t="s">
        <v>3048</v>
      </c>
      <c r="B1154" s="32" t="s">
        <v>3049</v>
      </c>
    </row>
    <row r="1155" spans="1:2" x14ac:dyDescent="0.25">
      <c r="A1155" s="29" t="s">
        <v>3050</v>
      </c>
      <c r="B1155" s="30" t="s">
        <v>3051</v>
      </c>
    </row>
    <row r="1156" spans="1:2" x14ac:dyDescent="0.25">
      <c r="A1156" s="31" t="s">
        <v>3052</v>
      </c>
      <c r="B1156" s="32" t="s">
        <v>3053</v>
      </c>
    </row>
    <row r="1157" spans="1:2" x14ac:dyDescent="0.25">
      <c r="A1157" s="29" t="s">
        <v>3054</v>
      </c>
      <c r="B1157" s="30" t="s">
        <v>3055</v>
      </c>
    </row>
    <row r="1158" spans="1:2" x14ac:dyDescent="0.25">
      <c r="A1158" s="31" t="s">
        <v>3056</v>
      </c>
      <c r="B1158" s="32" t="s">
        <v>3057</v>
      </c>
    </row>
    <row r="1159" spans="1:2" x14ac:dyDescent="0.25">
      <c r="A1159" s="29" t="s">
        <v>3058</v>
      </c>
      <c r="B1159" s="30" t="s">
        <v>3059</v>
      </c>
    </row>
    <row r="1160" spans="1:2" x14ac:dyDescent="0.25">
      <c r="A1160" s="31" t="s">
        <v>3060</v>
      </c>
      <c r="B1160" s="32" t="s">
        <v>3061</v>
      </c>
    </row>
    <row r="1161" spans="1:2" x14ac:dyDescent="0.25">
      <c r="A1161" s="29" t="s">
        <v>3062</v>
      </c>
      <c r="B1161" s="30" t="s">
        <v>3063</v>
      </c>
    </row>
    <row r="1162" spans="1:2" x14ac:dyDescent="0.25">
      <c r="A1162" s="31" t="s">
        <v>3064</v>
      </c>
      <c r="B1162" s="32" t="s">
        <v>3065</v>
      </c>
    </row>
    <row r="1163" spans="1:2" x14ac:dyDescent="0.25">
      <c r="A1163" s="29" t="s">
        <v>3066</v>
      </c>
      <c r="B1163" s="30" t="s">
        <v>3067</v>
      </c>
    </row>
    <row r="1164" spans="1:2" x14ac:dyDescent="0.25">
      <c r="A1164" s="31" t="s">
        <v>3068</v>
      </c>
      <c r="B1164" s="32" t="s">
        <v>3069</v>
      </c>
    </row>
    <row r="1165" spans="1:2" x14ac:dyDescent="0.25">
      <c r="A1165" s="29" t="s">
        <v>3070</v>
      </c>
      <c r="B1165" s="30" t="s">
        <v>3071</v>
      </c>
    </row>
    <row r="1166" spans="1:2" x14ac:dyDescent="0.25">
      <c r="A1166" s="31" t="s">
        <v>3072</v>
      </c>
      <c r="B1166" s="32" t="s">
        <v>3073</v>
      </c>
    </row>
    <row r="1167" spans="1:2" x14ac:dyDescent="0.25">
      <c r="A1167" s="29" t="s">
        <v>3074</v>
      </c>
      <c r="B1167" s="30" t="s">
        <v>3075</v>
      </c>
    </row>
    <row r="1168" spans="1:2" x14ac:dyDescent="0.25">
      <c r="A1168" s="31" t="s">
        <v>3076</v>
      </c>
      <c r="B1168" s="32" t="s">
        <v>3077</v>
      </c>
    </row>
    <row r="1169" spans="1:2" x14ac:dyDescent="0.25">
      <c r="A1169" s="29" t="s">
        <v>559</v>
      </c>
      <c r="B1169" s="30" t="s">
        <v>3078</v>
      </c>
    </row>
    <row r="1170" spans="1:2" x14ac:dyDescent="0.25">
      <c r="A1170" s="31" t="s">
        <v>3079</v>
      </c>
      <c r="B1170" s="32" t="s">
        <v>3080</v>
      </c>
    </row>
    <row r="1171" spans="1:2" x14ac:dyDescent="0.25">
      <c r="A1171" s="29" t="s">
        <v>3081</v>
      </c>
      <c r="B1171" s="30" t="s">
        <v>3082</v>
      </c>
    </row>
    <row r="1172" spans="1:2" x14ac:dyDescent="0.25">
      <c r="A1172" s="31" t="s">
        <v>3083</v>
      </c>
      <c r="B1172" s="32" t="s">
        <v>3084</v>
      </c>
    </row>
    <row r="1173" spans="1:2" x14ac:dyDescent="0.25">
      <c r="A1173" s="29" t="s">
        <v>3085</v>
      </c>
      <c r="B1173" s="30" t="s">
        <v>3086</v>
      </c>
    </row>
    <row r="1174" spans="1:2" x14ac:dyDescent="0.25">
      <c r="A1174" s="31" t="s">
        <v>3087</v>
      </c>
      <c r="B1174" s="32" t="s">
        <v>3088</v>
      </c>
    </row>
    <row r="1175" spans="1:2" x14ac:dyDescent="0.25">
      <c r="A1175" s="29" t="s">
        <v>3089</v>
      </c>
      <c r="B1175" s="30" t="s">
        <v>3090</v>
      </c>
    </row>
    <row r="1176" spans="1:2" x14ac:dyDescent="0.25">
      <c r="A1176" s="31" t="s">
        <v>3091</v>
      </c>
      <c r="B1176" s="32" t="s">
        <v>3092</v>
      </c>
    </row>
    <row r="1177" spans="1:2" x14ac:dyDescent="0.25">
      <c r="A1177" s="29" t="s">
        <v>3093</v>
      </c>
      <c r="B1177" s="30" t="s">
        <v>3094</v>
      </c>
    </row>
    <row r="1178" spans="1:2" x14ac:dyDescent="0.25">
      <c r="A1178" s="31" t="s">
        <v>3095</v>
      </c>
      <c r="B1178" s="32" t="s">
        <v>3096</v>
      </c>
    </row>
    <row r="1179" spans="1:2" x14ac:dyDescent="0.25">
      <c r="A1179" s="29" t="s">
        <v>3097</v>
      </c>
      <c r="B1179" s="30" t="s">
        <v>3098</v>
      </c>
    </row>
    <row r="1180" spans="1:2" x14ac:dyDescent="0.25">
      <c r="A1180" s="31" t="s">
        <v>3099</v>
      </c>
      <c r="B1180" s="32" t="s">
        <v>3100</v>
      </c>
    </row>
    <row r="1181" spans="1:2" x14ac:dyDescent="0.25">
      <c r="A1181" s="29" t="s">
        <v>3101</v>
      </c>
      <c r="B1181" s="30" t="s">
        <v>3102</v>
      </c>
    </row>
    <row r="1182" spans="1:2" x14ac:dyDescent="0.25">
      <c r="A1182" s="31" t="s">
        <v>3103</v>
      </c>
      <c r="B1182" s="32" t="s">
        <v>3104</v>
      </c>
    </row>
    <row r="1183" spans="1:2" x14ac:dyDescent="0.25">
      <c r="A1183" s="29" t="s">
        <v>3105</v>
      </c>
      <c r="B1183" s="30" t="s">
        <v>3106</v>
      </c>
    </row>
    <row r="1184" spans="1:2" x14ac:dyDescent="0.25">
      <c r="A1184" s="31" t="s">
        <v>3107</v>
      </c>
      <c r="B1184" s="32" t="s">
        <v>3108</v>
      </c>
    </row>
    <row r="1185" spans="1:2" x14ac:dyDescent="0.25">
      <c r="A1185" s="29" t="s">
        <v>3109</v>
      </c>
      <c r="B1185" s="30" t="s">
        <v>3110</v>
      </c>
    </row>
    <row r="1186" spans="1:2" x14ac:dyDescent="0.25">
      <c r="A1186" s="31" t="s">
        <v>3111</v>
      </c>
      <c r="B1186" s="32" t="s">
        <v>3112</v>
      </c>
    </row>
    <row r="1187" spans="1:2" x14ac:dyDescent="0.25">
      <c r="A1187" s="31" t="s">
        <v>3113</v>
      </c>
      <c r="B1187" s="32" t="s">
        <v>3114</v>
      </c>
    </row>
    <row r="1188" spans="1:2" x14ac:dyDescent="0.25">
      <c r="A1188" s="29" t="s">
        <v>3115</v>
      </c>
      <c r="B1188" s="30" t="s">
        <v>3116</v>
      </c>
    </row>
    <row r="1189" spans="1:2" x14ac:dyDescent="0.25">
      <c r="A1189" s="31" t="s">
        <v>3117</v>
      </c>
      <c r="B1189" s="32" t="s">
        <v>3118</v>
      </c>
    </row>
    <row r="1190" spans="1:2" x14ac:dyDescent="0.25">
      <c r="A1190" s="29" t="s">
        <v>3119</v>
      </c>
      <c r="B1190" s="30" t="s">
        <v>3120</v>
      </c>
    </row>
    <row r="1191" spans="1:2" x14ac:dyDescent="0.25">
      <c r="A1191" s="31" t="s">
        <v>3121</v>
      </c>
      <c r="B1191" s="32" t="s">
        <v>3122</v>
      </c>
    </row>
    <row r="1192" spans="1:2" x14ac:dyDescent="0.25">
      <c r="A1192" s="29" t="s">
        <v>167</v>
      </c>
      <c r="B1192" s="30" t="s">
        <v>3123</v>
      </c>
    </row>
    <row r="1193" spans="1:2" x14ac:dyDescent="0.25">
      <c r="A1193" s="31" t="s">
        <v>3124</v>
      </c>
      <c r="B1193" s="32" t="s">
        <v>3125</v>
      </c>
    </row>
    <row r="1194" spans="1:2" x14ac:dyDescent="0.25">
      <c r="A1194" s="29" t="s">
        <v>75</v>
      </c>
      <c r="B1194" s="30" t="s">
        <v>3126</v>
      </c>
    </row>
    <row r="1195" spans="1:2" x14ac:dyDescent="0.25">
      <c r="A1195" s="31" t="s">
        <v>33</v>
      </c>
      <c r="B1195" s="32" t="s">
        <v>3127</v>
      </c>
    </row>
    <row r="1196" spans="1:2" x14ac:dyDescent="0.25">
      <c r="A1196" s="29" t="s">
        <v>53</v>
      </c>
      <c r="B1196" s="30" t="s">
        <v>3128</v>
      </c>
    </row>
    <row r="1197" spans="1:2" x14ac:dyDescent="0.25">
      <c r="A1197" s="31" t="s">
        <v>3129</v>
      </c>
      <c r="B1197" s="32" t="s">
        <v>3130</v>
      </c>
    </row>
    <row r="1198" spans="1:2" x14ac:dyDescent="0.25">
      <c r="A1198" s="29" t="s">
        <v>3131</v>
      </c>
      <c r="B1198" s="30" t="s">
        <v>3132</v>
      </c>
    </row>
    <row r="1199" spans="1:2" x14ac:dyDescent="0.25">
      <c r="A1199" s="31" t="s">
        <v>3133</v>
      </c>
      <c r="B1199" s="32" t="s">
        <v>3134</v>
      </c>
    </row>
    <row r="1200" spans="1:2" x14ac:dyDescent="0.25">
      <c r="A1200" s="29" t="s">
        <v>3135</v>
      </c>
      <c r="B1200" s="30" t="s">
        <v>3136</v>
      </c>
    </row>
    <row r="1201" spans="1:2" x14ac:dyDescent="0.25">
      <c r="A1201" s="31" t="s">
        <v>3137</v>
      </c>
      <c r="B1201" s="32" t="s">
        <v>3138</v>
      </c>
    </row>
    <row r="1202" spans="1:2" x14ac:dyDescent="0.25">
      <c r="A1202" s="29" t="s">
        <v>3139</v>
      </c>
      <c r="B1202" s="30" t="s">
        <v>3140</v>
      </c>
    </row>
    <row r="1203" spans="1:2" x14ac:dyDescent="0.25">
      <c r="A1203" s="31" t="s">
        <v>3141</v>
      </c>
      <c r="B1203" s="32" t="s">
        <v>3142</v>
      </c>
    </row>
    <row r="1204" spans="1:2" x14ac:dyDescent="0.25">
      <c r="A1204" s="29" t="s">
        <v>3143</v>
      </c>
      <c r="B1204" s="30" t="s">
        <v>3144</v>
      </c>
    </row>
    <row r="1205" spans="1:2" x14ac:dyDescent="0.25">
      <c r="A1205" s="31" t="s">
        <v>3145</v>
      </c>
      <c r="B1205" s="32" t="s">
        <v>3146</v>
      </c>
    </row>
    <row r="1206" spans="1:2" x14ac:dyDescent="0.25">
      <c r="A1206" s="29" t="s">
        <v>3147</v>
      </c>
      <c r="B1206" s="30" t="s">
        <v>3148</v>
      </c>
    </row>
    <row r="1207" spans="1:2" x14ac:dyDescent="0.25">
      <c r="A1207" s="31" t="s">
        <v>3149</v>
      </c>
      <c r="B1207" s="32" t="s">
        <v>3150</v>
      </c>
    </row>
    <row r="1208" spans="1:2" x14ac:dyDescent="0.25">
      <c r="A1208" s="29" t="s">
        <v>3151</v>
      </c>
      <c r="B1208" s="30" t="s">
        <v>3152</v>
      </c>
    </row>
    <row r="1209" spans="1:2" x14ac:dyDescent="0.25">
      <c r="A1209" s="31" t="s">
        <v>3153</v>
      </c>
      <c r="B1209" s="32" t="s">
        <v>3154</v>
      </c>
    </row>
    <row r="1210" spans="1:2" x14ac:dyDescent="0.25">
      <c r="A1210" s="29" t="s">
        <v>3155</v>
      </c>
      <c r="B1210" s="30" t="s">
        <v>3156</v>
      </c>
    </row>
    <row r="1211" spans="1:2" x14ac:dyDescent="0.25">
      <c r="A1211" s="31" t="s">
        <v>3157</v>
      </c>
      <c r="B1211" s="32" t="s">
        <v>3158</v>
      </c>
    </row>
    <row r="1212" spans="1:2" x14ac:dyDescent="0.25">
      <c r="A1212" s="29" t="s">
        <v>3159</v>
      </c>
      <c r="B1212" s="30" t="s">
        <v>3160</v>
      </c>
    </row>
    <row r="1213" spans="1:2" x14ac:dyDescent="0.25">
      <c r="A1213" s="31" t="s">
        <v>3161</v>
      </c>
      <c r="B1213" s="32" t="s">
        <v>3162</v>
      </c>
    </row>
    <row r="1214" spans="1:2" x14ac:dyDescent="0.25">
      <c r="A1214" s="29" t="s">
        <v>3163</v>
      </c>
      <c r="B1214" s="30" t="s">
        <v>3164</v>
      </c>
    </row>
    <row r="1215" spans="1:2" x14ac:dyDescent="0.25">
      <c r="A1215" s="31" t="s">
        <v>3165</v>
      </c>
      <c r="B1215" s="32" t="s">
        <v>3166</v>
      </c>
    </row>
    <row r="1216" spans="1:2" x14ac:dyDescent="0.25">
      <c r="A1216" s="29" t="s">
        <v>149</v>
      </c>
      <c r="B1216" s="30" t="s">
        <v>3167</v>
      </c>
    </row>
    <row r="1217" spans="1:2" x14ac:dyDescent="0.25">
      <c r="A1217" s="31" t="s">
        <v>413</v>
      </c>
      <c r="B1217" s="32" t="s">
        <v>3168</v>
      </c>
    </row>
    <row r="1218" spans="1:2" x14ac:dyDescent="0.25">
      <c r="A1218" s="29" t="s">
        <v>3169</v>
      </c>
      <c r="B1218" s="30" t="s">
        <v>3170</v>
      </c>
    </row>
    <row r="1219" spans="1:2" x14ac:dyDescent="0.25">
      <c r="A1219" s="31" t="s">
        <v>3171</v>
      </c>
      <c r="B1219" s="32" t="s">
        <v>3172</v>
      </c>
    </row>
    <row r="1220" spans="1:2" x14ac:dyDescent="0.25">
      <c r="A1220" s="29" t="s">
        <v>162</v>
      </c>
      <c r="B1220" s="30" t="s">
        <v>3173</v>
      </c>
    </row>
    <row r="1221" spans="1:2" x14ac:dyDescent="0.25">
      <c r="A1221" s="31" t="s">
        <v>3174</v>
      </c>
      <c r="B1221" s="32" t="s">
        <v>3175</v>
      </c>
    </row>
    <row r="1222" spans="1:2" x14ac:dyDescent="0.25">
      <c r="A1222" s="29" t="s">
        <v>3176</v>
      </c>
      <c r="B1222" s="30" t="s">
        <v>3177</v>
      </c>
    </row>
    <row r="1223" spans="1:2" x14ac:dyDescent="0.25">
      <c r="A1223" s="31" t="s">
        <v>3178</v>
      </c>
      <c r="B1223" s="32" t="s">
        <v>3179</v>
      </c>
    </row>
    <row r="1224" spans="1:2" x14ac:dyDescent="0.25">
      <c r="A1224" s="29" t="s">
        <v>3180</v>
      </c>
      <c r="B1224" s="30" t="s">
        <v>3181</v>
      </c>
    </row>
    <row r="1225" spans="1:2" x14ac:dyDescent="0.25">
      <c r="A1225" s="31" t="s">
        <v>3182</v>
      </c>
      <c r="B1225" s="32" t="s">
        <v>3183</v>
      </c>
    </row>
    <row r="1226" spans="1:2" x14ac:dyDescent="0.25">
      <c r="A1226" s="29" t="s">
        <v>3184</v>
      </c>
      <c r="B1226" s="30" t="s">
        <v>3185</v>
      </c>
    </row>
    <row r="1227" spans="1:2" x14ac:dyDescent="0.25">
      <c r="A1227" s="31" t="s">
        <v>3186</v>
      </c>
      <c r="B1227" s="32" t="s">
        <v>3187</v>
      </c>
    </row>
    <row r="1228" spans="1:2" x14ac:dyDescent="0.25">
      <c r="A1228" s="29" t="s">
        <v>3188</v>
      </c>
      <c r="B1228" s="30" t="s">
        <v>3189</v>
      </c>
    </row>
    <row r="1229" spans="1:2" x14ac:dyDescent="0.25">
      <c r="A1229" s="31" t="s">
        <v>3190</v>
      </c>
      <c r="B1229" s="32" t="s">
        <v>3191</v>
      </c>
    </row>
    <row r="1230" spans="1:2" x14ac:dyDescent="0.25">
      <c r="A1230" s="29" t="s">
        <v>3192</v>
      </c>
      <c r="B1230" s="30" t="s">
        <v>3193</v>
      </c>
    </row>
    <row r="1231" spans="1:2" x14ac:dyDescent="0.25">
      <c r="A1231" s="31" t="s">
        <v>3194</v>
      </c>
      <c r="B1231" s="32" t="s">
        <v>3195</v>
      </c>
    </row>
    <row r="1232" spans="1:2" x14ac:dyDescent="0.25">
      <c r="A1232" s="29" t="s">
        <v>3196</v>
      </c>
      <c r="B1232" s="30" t="s">
        <v>3197</v>
      </c>
    </row>
    <row r="1233" spans="1:2" x14ac:dyDescent="0.25">
      <c r="A1233" s="31" t="s">
        <v>3198</v>
      </c>
      <c r="B1233" s="32" t="s">
        <v>3199</v>
      </c>
    </row>
    <row r="1234" spans="1:2" x14ac:dyDescent="0.25">
      <c r="A1234" s="29" t="s">
        <v>3200</v>
      </c>
      <c r="B1234" s="30" t="s">
        <v>3201</v>
      </c>
    </row>
    <row r="1235" spans="1:2" x14ac:dyDescent="0.25">
      <c r="A1235" s="31" t="s">
        <v>3202</v>
      </c>
      <c r="B1235" s="32" t="s">
        <v>3203</v>
      </c>
    </row>
    <row r="1236" spans="1:2" x14ac:dyDescent="0.25">
      <c r="A1236" s="31" t="s">
        <v>3204</v>
      </c>
      <c r="B1236" s="32" t="s">
        <v>3205</v>
      </c>
    </row>
    <row r="1237" spans="1:2" x14ac:dyDescent="0.25">
      <c r="A1237" s="31" t="s">
        <v>3206</v>
      </c>
      <c r="B1237" s="32" t="s">
        <v>3207</v>
      </c>
    </row>
    <row r="1238" spans="1:2" x14ac:dyDescent="0.25">
      <c r="A1238" s="29" t="s">
        <v>3208</v>
      </c>
      <c r="B1238" s="30" t="s">
        <v>3209</v>
      </c>
    </row>
    <row r="1239" spans="1:2" x14ac:dyDescent="0.25">
      <c r="A1239" s="31" t="s">
        <v>3210</v>
      </c>
      <c r="B1239" s="32" t="s">
        <v>3211</v>
      </c>
    </row>
    <row r="1240" spans="1:2" x14ac:dyDescent="0.25">
      <c r="A1240" s="29" t="s">
        <v>3212</v>
      </c>
      <c r="B1240" s="30" t="s">
        <v>3213</v>
      </c>
    </row>
    <row r="1241" spans="1:2" x14ac:dyDescent="0.25">
      <c r="A1241" s="31" t="s">
        <v>3214</v>
      </c>
      <c r="B1241" s="32" t="s">
        <v>3215</v>
      </c>
    </row>
    <row r="1242" spans="1:2" x14ac:dyDescent="0.25">
      <c r="A1242" s="29" t="s">
        <v>3216</v>
      </c>
      <c r="B1242" s="30" t="s">
        <v>3217</v>
      </c>
    </row>
    <row r="1243" spans="1:2" x14ac:dyDescent="0.25">
      <c r="A1243" s="31" t="s">
        <v>3218</v>
      </c>
      <c r="B1243" s="32" t="s">
        <v>3219</v>
      </c>
    </row>
    <row r="1244" spans="1:2" x14ac:dyDescent="0.25">
      <c r="A1244" s="29" t="s">
        <v>3220</v>
      </c>
      <c r="B1244" s="30" t="s">
        <v>3221</v>
      </c>
    </row>
    <row r="1245" spans="1:2" x14ac:dyDescent="0.25">
      <c r="A1245" s="31" t="s">
        <v>3222</v>
      </c>
      <c r="B1245" s="32" t="s">
        <v>3223</v>
      </c>
    </row>
    <row r="1246" spans="1:2" x14ac:dyDescent="0.25">
      <c r="A1246" s="29" t="s">
        <v>3224</v>
      </c>
      <c r="B1246" s="30" t="s">
        <v>3225</v>
      </c>
    </row>
    <row r="1247" spans="1:2" x14ac:dyDescent="0.25">
      <c r="A1247" s="31" t="s">
        <v>3226</v>
      </c>
      <c r="B1247" s="32" t="s">
        <v>3227</v>
      </c>
    </row>
    <row r="1248" spans="1:2" x14ac:dyDescent="0.25">
      <c r="A1248" s="29" t="s">
        <v>3228</v>
      </c>
      <c r="B1248" s="30" t="s">
        <v>3229</v>
      </c>
    </row>
    <row r="1249" spans="1:2" x14ac:dyDescent="0.25">
      <c r="A1249" s="31" t="s">
        <v>3230</v>
      </c>
      <c r="B1249" s="32" t="s">
        <v>3231</v>
      </c>
    </row>
    <row r="1250" spans="1:2" x14ac:dyDescent="0.25">
      <c r="A1250" s="29" t="s">
        <v>3232</v>
      </c>
      <c r="B1250" s="30" t="s">
        <v>3233</v>
      </c>
    </row>
    <row r="1251" spans="1:2" x14ac:dyDescent="0.25">
      <c r="A1251" s="31" t="s">
        <v>3234</v>
      </c>
      <c r="B1251" s="32" t="s">
        <v>3235</v>
      </c>
    </row>
    <row r="1252" spans="1:2" x14ac:dyDescent="0.25">
      <c r="A1252" s="29" t="s">
        <v>3236</v>
      </c>
      <c r="B1252" s="30" t="s">
        <v>3237</v>
      </c>
    </row>
    <row r="1253" spans="1:2" x14ac:dyDescent="0.25">
      <c r="A1253" s="31" t="s">
        <v>3238</v>
      </c>
      <c r="B1253" s="32" t="s">
        <v>3239</v>
      </c>
    </row>
    <row r="1254" spans="1:2" x14ac:dyDescent="0.25">
      <c r="A1254" s="29" t="s">
        <v>3240</v>
      </c>
      <c r="B1254" s="30" t="s">
        <v>3241</v>
      </c>
    </row>
    <row r="1255" spans="1:2" x14ac:dyDescent="0.25">
      <c r="A1255" s="31" t="s">
        <v>3242</v>
      </c>
      <c r="B1255" s="32" t="s">
        <v>3243</v>
      </c>
    </row>
    <row r="1256" spans="1:2" x14ac:dyDescent="0.25">
      <c r="A1256" s="29" t="s">
        <v>3244</v>
      </c>
      <c r="B1256" s="30" t="s">
        <v>3245</v>
      </c>
    </row>
    <row r="1257" spans="1:2" x14ac:dyDescent="0.25">
      <c r="A1257" s="31" t="s">
        <v>3246</v>
      </c>
      <c r="B1257" s="32" t="s">
        <v>3247</v>
      </c>
    </row>
    <row r="1258" spans="1:2" x14ac:dyDescent="0.25">
      <c r="A1258" s="29" t="s">
        <v>3248</v>
      </c>
      <c r="B1258" s="30" t="s">
        <v>3249</v>
      </c>
    </row>
    <row r="1259" spans="1:2" x14ac:dyDescent="0.25">
      <c r="A1259" s="31" t="s">
        <v>3250</v>
      </c>
      <c r="B1259" s="32" t="s">
        <v>3251</v>
      </c>
    </row>
    <row r="1260" spans="1:2" x14ac:dyDescent="0.25">
      <c r="A1260" s="29" t="s">
        <v>3252</v>
      </c>
      <c r="B1260" s="30" t="s">
        <v>3253</v>
      </c>
    </row>
    <row r="1261" spans="1:2" x14ac:dyDescent="0.25">
      <c r="A1261" s="31" t="s">
        <v>3254</v>
      </c>
      <c r="B1261" s="32" t="s">
        <v>3255</v>
      </c>
    </row>
    <row r="1262" spans="1:2" x14ac:dyDescent="0.25">
      <c r="A1262" s="29" t="s">
        <v>3256</v>
      </c>
      <c r="B1262" s="30" t="s">
        <v>3257</v>
      </c>
    </row>
    <row r="1263" spans="1:2" x14ac:dyDescent="0.25">
      <c r="A1263" s="31" t="s">
        <v>3258</v>
      </c>
      <c r="B1263" s="32" t="s">
        <v>3259</v>
      </c>
    </row>
    <row r="1264" spans="1:2" x14ac:dyDescent="0.25">
      <c r="A1264" s="29" t="s">
        <v>3260</v>
      </c>
      <c r="B1264" s="30" t="s">
        <v>3261</v>
      </c>
    </row>
    <row r="1265" spans="1:2" x14ac:dyDescent="0.25">
      <c r="A1265" s="31" t="s">
        <v>3262</v>
      </c>
      <c r="B1265" s="32" t="s">
        <v>3263</v>
      </c>
    </row>
    <row r="1266" spans="1:2" x14ac:dyDescent="0.25">
      <c r="A1266" s="29" t="s">
        <v>3264</v>
      </c>
      <c r="B1266" s="30" t="s">
        <v>3265</v>
      </c>
    </row>
    <row r="1267" spans="1:2" x14ac:dyDescent="0.25">
      <c r="A1267" s="31" t="s">
        <v>3266</v>
      </c>
      <c r="B1267" s="32" t="s">
        <v>3267</v>
      </c>
    </row>
    <row r="1268" spans="1:2" x14ac:dyDescent="0.25">
      <c r="A1268" s="29" t="s">
        <v>3268</v>
      </c>
      <c r="B1268" s="30" t="s">
        <v>3269</v>
      </c>
    </row>
    <row r="1269" spans="1:2" x14ac:dyDescent="0.25">
      <c r="A1269" s="31" t="s">
        <v>3270</v>
      </c>
      <c r="B1269" s="32" t="s">
        <v>3271</v>
      </c>
    </row>
    <row r="1270" spans="1:2" x14ac:dyDescent="0.25">
      <c r="A1270" s="29" t="s">
        <v>3272</v>
      </c>
      <c r="B1270" s="30" t="s">
        <v>3273</v>
      </c>
    </row>
    <row r="1271" spans="1:2" x14ac:dyDescent="0.25">
      <c r="A1271" s="31" t="s">
        <v>3274</v>
      </c>
      <c r="B1271" s="32" t="s">
        <v>3275</v>
      </c>
    </row>
    <row r="1272" spans="1:2" x14ac:dyDescent="0.25">
      <c r="A1272" s="29" t="s">
        <v>3276</v>
      </c>
      <c r="B1272" s="30" t="s">
        <v>3277</v>
      </c>
    </row>
    <row r="1273" spans="1:2" x14ac:dyDescent="0.25">
      <c r="A1273" s="31" t="s">
        <v>3278</v>
      </c>
      <c r="B1273" s="32" t="s">
        <v>3279</v>
      </c>
    </row>
    <row r="1274" spans="1:2" x14ac:dyDescent="0.25">
      <c r="A1274" s="29" t="s">
        <v>3280</v>
      </c>
      <c r="B1274" s="30" t="s">
        <v>3281</v>
      </c>
    </row>
    <row r="1275" spans="1:2" x14ac:dyDescent="0.25">
      <c r="A1275" s="31" t="s">
        <v>3282</v>
      </c>
      <c r="B1275" s="32" t="s">
        <v>3283</v>
      </c>
    </row>
    <row r="1276" spans="1:2" x14ac:dyDescent="0.25">
      <c r="A1276" s="29" t="s">
        <v>3284</v>
      </c>
      <c r="B1276" s="30" t="s">
        <v>3285</v>
      </c>
    </row>
    <row r="1277" spans="1:2" x14ac:dyDescent="0.25">
      <c r="A1277" s="31" t="s">
        <v>3286</v>
      </c>
      <c r="B1277" s="32" t="s">
        <v>3287</v>
      </c>
    </row>
    <row r="1278" spans="1:2" x14ac:dyDescent="0.25">
      <c r="A1278" s="29" t="s">
        <v>3288</v>
      </c>
      <c r="B1278" s="30" t="s">
        <v>3289</v>
      </c>
    </row>
    <row r="1279" spans="1:2" x14ac:dyDescent="0.25">
      <c r="A1279" s="31" t="s">
        <v>3290</v>
      </c>
      <c r="B1279" s="32" t="s">
        <v>3291</v>
      </c>
    </row>
    <row r="1280" spans="1:2" x14ac:dyDescent="0.25">
      <c r="A1280" s="29" t="s">
        <v>3292</v>
      </c>
      <c r="B1280" s="30" t="s">
        <v>3293</v>
      </c>
    </row>
    <row r="1281" spans="1:2" x14ac:dyDescent="0.25">
      <c r="A1281" s="31" t="s">
        <v>3294</v>
      </c>
      <c r="B1281" s="32" t="s">
        <v>3295</v>
      </c>
    </row>
    <row r="1282" spans="1:2" x14ac:dyDescent="0.25">
      <c r="A1282" s="29" t="s">
        <v>3296</v>
      </c>
      <c r="B1282" s="30" t="s">
        <v>3297</v>
      </c>
    </row>
    <row r="1283" spans="1:2" x14ac:dyDescent="0.25">
      <c r="A1283" s="31" t="s">
        <v>3298</v>
      </c>
      <c r="B1283" s="32" t="s">
        <v>3299</v>
      </c>
    </row>
    <row r="1284" spans="1:2" x14ac:dyDescent="0.25">
      <c r="A1284" s="29" t="s">
        <v>3300</v>
      </c>
      <c r="B1284" s="30" t="s">
        <v>3301</v>
      </c>
    </row>
    <row r="1285" spans="1:2" x14ac:dyDescent="0.25">
      <c r="A1285" s="31" t="s">
        <v>3302</v>
      </c>
      <c r="B1285" s="32" t="s">
        <v>3303</v>
      </c>
    </row>
    <row r="1286" spans="1:2" x14ac:dyDescent="0.25">
      <c r="A1286" s="29" t="s">
        <v>3304</v>
      </c>
      <c r="B1286" s="30" t="s">
        <v>3305</v>
      </c>
    </row>
    <row r="1287" spans="1:2" x14ac:dyDescent="0.25">
      <c r="A1287" s="31" t="s">
        <v>3306</v>
      </c>
      <c r="B1287" s="32" t="s">
        <v>3307</v>
      </c>
    </row>
    <row r="1288" spans="1:2" x14ac:dyDescent="0.25">
      <c r="A1288" s="29" t="s">
        <v>3308</v>
      </c>
      <c r="B1288" s="30" t="s">
        <v>3309</v>
      </c>
    </row>
    <row r="1289" spans="1:2" x14ac:dyDescent="0.25">
      <c r="A1289" s="31" t="s">
        <v>3310</v>
      </c>
      <c r="B1289" s="32" t="s">
        <v>3311</v>
      </c>
    </row>
    <row r="1290" spans="1:2" x14ac:dyDescent="0.25">
      <c r="A1290" s="29" t="s">
        <v>3312</v>
      </c>
      <c r="B1290" s="30" t="s">
        <v>3313</v>
      </c>
    </row>
    <row r="1291" spans="1:2" x14ac:dyDescent="0.25">
      <c r="A1291" s="31" t="s">
        <v>3314</v>
      </c>
      <c r="B1291" s="32" t="s">
        <v>3315</v>
      </c>
    </row>
    <row r="1292" spans="1:2" x14ac:dyDescent="0.25">
      <c r="A1292" s="29" t="s">
        <v>3316</v>
      </c>
      <c r="B1292" s="30" t="s">
        <v>3317</v>
      </c>
    </row>
    <row r="1293" spans="1:2" x14ac:dyDescent="0.25">
      <c r="A1293" s="31" t="s">
        <v>3318</v>
      </c>
      <c r="B1293" s="32" t="s">
        <v>3319</v>
      </c>
    </row>
    <row r="1294" spans="1:2" x14ac:dyDescent="0.25">
      <c r="A1294" s="29" t="s">
        <v>3320</v>
      </c>
      <c r="B1294" s="30" t="s">
        <v>3321</v>
      </c>
    </row>
    <row r="1295" spans="1:2" x14ac:dyDescent="0.25">
      <c r="A1295" s="31" t="s">
        <v>3322</v>
      </c>
      <c r="B1295" s="32" t="s">
        <v>3323</v>
      </c>
    </row>
    <row r="1296" spans="1:2" x14ac:dyDescent="0.25">
      <c r="A1296" s="29" t="s">
        <v>3324</v>
      </c>
      <c r="B1296" s="30" t="s">
        <v>3325</v>
      </c>
    </row>
    <row r="1297" spans="1:2" x14ac:dyDescent="0.25">
      <c r="A1297" s="31" t="s">
        <v>3326</v>
      </c>
      <c r="B1297" s="32" t="s">
        <v>3327</v>
      </c>
    </row>
    <row r="1298" spans="1:2" x14ac:dyDescent="0.25">
      <c r="A1298" s="29" t="s">
        <v>3328</v>
      </c>
      <c r="B1298" s="30" t="s">
        <v>3329</v>
      </c>
    </row>
    <row r="1299" spans="1:2" x14ac:dyDescent="0.25">
      <c r="A1299" s="31" t="s">
        <v>3330</v>
      </c>
      <c r="B1299" s="32" t="s">
        <v>3331</v>
      </c>
    </row>
    <row r="1300" spans="1:2" x14ac:dyDescent="0.25">
      <c r="A1300" s="29" t="s">
        <v>3332</v>
      </c>
      <c r="B1300" s="30" t="s">
        <v>3333</v>
      </c>
    </row>
    <row r="1301" spans="1:2" x14ac:dyDescent="0.25">
      <c r="A1301" s="31" t="s">
        <v>3334</v>
      </c>
      <c r="B1301" s="32" t="s">
        <v>3335</v>
      </c>
    </row>
    <row r="1302" spans="1:2" x14ac:dyDescent="0.25">
      <c r="A1302" s="29" t="s">
        <v>3336</v>
      </c>
      <c r="B1302" s="30" t="s">
        <v>3337</v>
      </c>
    </row>
    <row r="1303" spans="1:2" x14ac:dyDescent="0.25">
      <c r="A1303" s="31" t="s">
        <v>3338</v>
      </c>
      <c r="B1303" s="32" t="s">
        <v>3339</v>
      </c>
    </row>
    <row r="1304" spans="1:2" x14ac:dyDescent="0.25">
      <c r="A1304" s="29" t="s">
        <v>3340</v>
      </c>
      <c r="B1304" s="30" t="s">
        <v>3341</v>
      </c>
    </row>
    <row r="1305" spans="1:2" x14ac:dyDescent="0.25">
      <c r="A1305" s="31" t="s">
        <v>3342</v>
      </c>
      <c r="B1305" s="32" t="s">
        <v>3343</v>
      </c>
    </row>
    <row r="1306" spans="1:2" x14ac:dyDescent="0.25">
      <c r="A1306" s="29" t="s">
        <v>3344</v>
      </c>
      <c r="B1306" s="30" t="s">
        <v>3345</v>
      </c>
    </row>
    <row r="1307" spans="1:2" x14ac:dyDescent="0.25">
      <c r="A1307" s="31" t="s">
        <v>3346</v>
      </c>
      <c r="B1307" s="32" t="s">
        <v>3347</v>
      </c>
    </row>
    <row r="1308" spans="1:2" x14ac:dyDescent="0.25">
      <c r="A1308" s="29" t="s">
        <v>3348</v>
      </c>
      <c r="B1308" s="30" t="s">
        <v>3349</v>
      </c>
    </row>
    <row r="1309" spans="1:2" x14ac:dyDescent="0.25">
      <c r="A1309" s="31" t="s">
        <v>3350</v>
      </c>
      <c r="B1309" s="32" t="s">
        <v>3351</v>
      </c>
    </row>
    <row r="1310" spans="1:2" x14ac:dyDescent="0.25">
      <c r="A1310" s="29" t="s">
        <v>3352</v>
      </c>
      <c r="B1310" s="30" t="s">
        <v>3353</v>
      </c>
    </row>
    <row r="1311" spans="1:2" x14ac:dyDescent="0.25">
      <c r="A1311" s="31" t="s">
        <v>3354</v>
      </c>
      <c r="B1311" s="32" t="s">
        <v>3355</v>
      </c>
    </row>
    <row r="1312" spans="1:2" x14ac:dyDescent="0.25">
      <c r="A1312" s="29" t="s">
        <v>3356</v>
      </c>
      <c r="B1312" s="30" t="s">
        <v>3357</v>
      </c>
    </row>
    <row r="1313" spans="1:2" x14ac:dyDescent="0.25">
      <c r="A1313" s="31" t="s">
        <v>3358</v>
      </c>
      <c r="B1313" s="32" t="s">
        <v>3359</v>
      </c>
    </row>
    <row r="1314" spans="1:2" x14ac:dyDescent="0.25">
      <c r="A1314" s="29" t="s">
        <v>3360</v>
      </c>
      <c r="B1314" s="30" t="s">
        <v>3361</v>
      </c>
    </row>
    <row r="1315" spans="1:2" x14ac:dyDescent="0.25">
      <c r="A1315" s="31" t="s">
        <v>3362</v>
      </c>
      <c r="B1315" s="32" t="s">
        <v>3363</v>
      </c>
    </row>
    <row r="1316" spans="1:2" x14ac:dyDescent="0.25">
      <c r="A1316" s="29" t="s">
        <v>3364</v>
      </c>
      <c r="B1316" s="30" t="s">
        <v>3365</v>
      </c>
    </row>
    <row r="1317" spans="1:2" x14ac:dyDescent="0.25">
      <c r="A1317" s="31" t="s">
        <v>3366</v>
      </c>
      <c r="B1317" s="32" t="s">
        <v>3367</v>
      </c>
    </row>
    <row r="1318" spans="1:2" x14ac:dyDescent="0.25">
      <c r="A1318" s="29" t="s">
        <v>3368</v>
      </c>
      <c r="B1318" s="30" t="s">
        <v>3369</v>
      </c>
    </row>
    <row r="1319" spans="1:2" x14ac:dyDescent="0.25">
      <c r="A1319" s="31" t="s">
        <v>3370</v>
      </c>
      <c r="B1319" s="32" t="s">
        <v>3371</v>
      </c>
    </row>
    <row r="1320" spans="1:2" x14ac:dyDescent="0.25">
      <c r="A1320" s="29" t="s">
        <v>3372</v>
      </c>
      <c r="B1320" s="30" t="s">
        <v>3373</v>
      </c>
    </row>
    <row r="1321" spans="1:2" x14ac:dyDescent="0.25">
      <c r="A1321" s="31" t="s">
        <v>3374</v>
      </c>
      <c r="B1321" s="32" t="s">
        <v>3375</v>
      </c>
    </row>
    <row r="1322" spans="1:2" x14ac:dyDescent="0.25">
      <c r="A1322" s="29" t="s">
        <v>3376</v>
      </c>
      <c r="B1322" s="30" t="s">
        <v>3377</v>
      </c>
    </row>
    <row r="1323" spans="1:2" x14ac:dyDescent="0.25">
      <c r="A1323" s="31" t="s">
        <v>3378</v>
      </c>
      <c r="B1323" s="32" t="s">
        <v>3379</v>
      </c>
    </row>
    <row r="1324" spans="1:2" x14ac:dyDescent="0.25">
      <c r="A1324" s="29" t="s">
        <v>3380</v>
      </c>
      <c r="B1324" s="30" t="s">
        <v>3381</v>
      </c>
    </row>
    <row r="1325" spans="1:2" x14ac:dyDescent="0.25">
      <c r="A1325" s="31" t="s">
        <v>3382</v>
      </c>
      <c r="B1325" s="32" t="s">
        <v>3383</v>
      </c>
    </row>
    <row r="1326" spans="1:2" x14ac:dyDescent="0.25">
      <c r="A1326" s="29" t="s">
        <v>3384</v>
      </c>
      <c r="B1326" s="30" t="s">
        <v>3385</v>
      </c>
    </row>
    <row r="1327" spans="1:2" x14ac:dyDescent="0.25">
      <c r="A1327" s="31" t="s">
        <v>3386</v>
      </c>
      <c r="B1327" s="32" t="s">
        <v>3387</v>
      </c>
    </row>
    <row r="1328" spans="1:2" x14ac:dyDescent="0.25">
      <c r="A1328" s="29" t="s">
        <v>3388</v>
      </c>
      <c r="B1328" s="30" t="s">
        <v>3389</v>
      </c>
    </row>
    <row r="1329" spans="1:2" x14ac:dyDescent="0.25">
      <c r="A1329" s="31" t="s">
        <v>3390</v>
      </c>
      <c r="B1329" s="32" t="s">
        <v>3391</v>
      </c>
    </row>
    <row r="1330" spans="1:2" x14ac:dyDescent="0.25">
      <c r="A1330" s="29" t="s">
        <v>3392</v>
      </c>
      <c r="B1330" s="30" t="s">
        <v>3393</v>
      </c>
    </row>
    <row r="1331" spans="1:2" x14ac:dyDescent="0.25">
      <c r="A1331" s="31" t="s">
        <v>3394</v>
      </c>
      <c r="B1331" s="32" t="s">
        <v>3395</v>
      </c>
    </row>
    <row r="1332" spans="1:2" x14ac:dyDescent="0.25">
      <c r="A1332" s="29" t="s">
        <v>3396</v>
      </c>
      <c r="B1332" s="30" t="s">
        <v>3397</v>
      </c>
    </row>
    <row r="1333" spans="1:2" x14ac:dyDescent="0.25">
      <c r="A1333" s="31" t="s">
        <v>3398</v>
      </c>
      <c r="B1333" s="32" t="s">
        <v>3399</v>
      </c>
    </row>
    <row r="1334" spans="1:2" x14ac:dyDescent="0.25">
      <c r="A1334" s="29" t="s">
        <v>3400</v>
      </c>
      <c r="B1334" s="30" t="s">
        <v>3401</v>
      </c>
    </row>
    <row r="1335" spans="1:2" x14ac:dyDescent="0.25">
      <c r="A1335" s="31" t="s">
        <v>3402</v>
      </c>
      <c r="B1335" s="32" t="s">
        <v>3403</v>
      </c>
    </row>
    <row r="1336" spans="1:2" x14ac:dyDescent="0.25">
      <c r="A1336" s="29" t="s">
        <v>3404</v>
      </c>
      <c r="B1336" s="30" t="s">
        <v>3405</v>
      </c>
    </row>
    <row r="1337" spans="1:2" x14ac:dyDescent="0.25">
      <c r="A1337" s="31" t="s">
        <v>3406</v>
      </c>
      <c r="B1337" s="32" t="s">
        <v>3407</v>
      </c>
    </row>
    <row r="1338" spans="1:2" x14ac:dyDescent="0.25">
      <c r="A1338" s="29" t="s">
        <v>3408</v>
      </c>
      <c r="B1338" s="30" t="s">
        <v>3409</v>
      </c>
    </row>
    <row r="1339" spans="1:2" x14ac:dyDescent="0.25">
      <c r="A1339" s="31" t="s">
        <v>3410</v>
      </c>
      <c r="B1339" s="32" t="s">
        <v>3411</v>
      </c>
    </row>
    <row r="1340" spans="1:2" x14ac:dyDescent="0.25">
      <c r="A1340" s="29" t="s">
        <v>3412</v>
      </c>
      <c r="B1340" s="30" t="s">
        <v>3413</v>
      </c>
    </row>
    <row r="1341" spans="1:2" x14ac:dyDescent="0.25">
      <c r="A1341" s="31" t="s">
        <v>3414</v>
      </c>
      <c r="B1341" s="32" t="s">
        <v>3415</v>
      </c>
    </row>
    <row r="1342" spans="1:2" x14ac:dyDescent="0.25">
      <c r="A1342" s="29" t="s">
        <v>3416</v>
      </c>
      <c r="B1342" s="30" t="s">
        <v>3417</v>
      </c>
    </row>
    <row r="1343" spans="1:2" x14ac:dyDescent="0.25">
      <c r="A1343" s="31" t="s">
        <v>3418</v>
      </c>
      <c r="B1343" s="32" t="s">
        <v>3419</v>
      </c>
    </row>
    <row r="1344" spans="1:2" x14ac:dyDescent="0.25">
      <c r="A1344" s="29" t="s">
        <v>3420</v>
      </c>
      <c r="B1344" s="30" t="s">
        <v>3421</v>
      </c>
    </row>
    <row r="1345" spans="1:2" x14ac:dyDescent="0.25">
      <c r="A1345" s="31" t="s">
        <v>3422</v>
      </c>
      <c r="B1345" s="32" t="s">
        <v>3423</v>
      </c>
    </row>
    <row r="1346" spans="1:2" x14ac:dyDescent="0.25">
      <c r="A1346" s="29" t="s">
        <v>3424</v>
      </c>
      <c r="B1346" s="30" t="s">
        <v>3425</v>
      </c>
    </row>
    <row r="1347" spans="1:2" x14ac:dyDescent="0.25">
      <c r="A1347" s="31" t="s">
        <v>3426</v>
      </c>
      <c r="B1347" s="32" t="s">
        <v>3427</v>
      </c>
    </row>
    <row r="1348" spans="1:2" x14ac:dyDescent="0.25">
      <c r="A1348" s="29" t="s">
        <v>3428</v>
      </c>
      <c r="B1348" s="30" t="s">
        <v>3429</v>
      </c>
    </row>
    <row r="1349" spans="1:2" x14ac:dyDescent="0.25">
      <c r="A1349" s="31" t="s">
        <v>3430</v>
      </c>
      <c r="B1349" s="32" t="s">
        <v>3431</v>
      </c>
    </row>
    <row r="1350" spans="1:2" x14ac:dyDescent="0.25">
      <c r="A1350" s="29" t="s">
        <v>3432</v>
      </c>
      <c r="B1350" s="30" t="s">
        <v>3433</v>
      </c>
    </row>
    <row r="1351" spans="1:2" x14ac:dyDescent="0.25">
      <c r="A1351" s="31" t="s">
        <v>3434</v>
      </c>
      <c r="B1351" s="32" t="s">
        <v>3435</v>
      </c>
    </row>
    <row r="1352" spans="1:2" x14ac:dyDescent="0.25">
      <c r="A1352" s="29" t="s">
        <v>3436</v>
      </c>
      <c r="B1352" s="30" t="s">
        <v>3437</v>
      </c>
    </row>
    <row r="1353" spans="1:2" x14ac:dyDescent="0.25">
      <c r="A1353" s="31" t="s">
        <v>3438</v>
      </c>
      <c r="B1353" s="32" t="s">
        <v>3439</v>
      </c>
    </row>
    <row r="1354" spans="1:2" x14ac:dyDescent="0.25">
      <c r="A1354" s="29" t="s">
        <v>3440</v>
      </c>
      <c r="B1354" s="30" t="s">
        <v>3441</v>
      </c>
    </row>
    <row r="1355" spans="1:2" x14ac:dyDescent="0.25">
      <c r="A1355" s="31" t="s">
        <v>3442</v>
      </c>
      <c r="B1355" s="32" t="s">
        <v>3443</v>
      </c>
    </row>
    <row r="1356" spans="1:2" x14ac:dyDescent="0.25">
      <c r="A1356" s="29" t="s">
        <v>3444</v>
      </c>
      <c r="B1356" s="30" t="s">
        <v>3445</v>
      </c>
    </row>
    <row r="1357" spans="1:2" x14ac:dyDescent="0.25">
      <c r="A1357" s="31" t="s">
        <v>3446</v>
      </c>
      <c r="B1357" s="32" t="s">
        <v>3447</v>
      </c>
    </row>
    <row r="1358" spans="1:2" x14ac:dyDescent="0.25">
      <c r="A1358" s="29" t="s">
        <v>3448</v>
      </c>
      <c r="B1358" s="30" t="s">
        <v>3449</v>
      </c>
    </row>
    <row r="1359" spans="1:2" x14ac:dyDescent="0.25">
      <c r="A1359" s="31" t="s">
        <v>3450</v>
      </c>
      <c r="B1359" s="32" t="s">
        <v>3451</v>
      </c>
    </row>
    <row r="1360" spans="1:2" x14ac:dyDescent="0.25">
      <c r="A1360" s="29" t="s">
        <v>3452</v>
      </c>
      <c r="B1360" s="30" t="s">
        <v>3453</v>
      </c>
    </row>
    <row r="1361" spans="1:2" x14ac:dyDescent="0.25">
      <c r="A1361" s="31" t="s">
        <v>3454</v>
      </c>
      <c r="B1361" s="32" t="s">
        <v>3455</v>
      </c>
    </row>
    <row r="1362" spans="1:2" x14ac:dyDescent="0.25">
      <c r="A1362" s="29" t="s">
        <v>3456</v>
      </c>
      <c r="B1362" s="30" t="s">
        <v>3457</v>
      </c>
    </row>
    <row r="1363" spans="1:2" x14ac:dyDescent="0.25">
      <c r="A1363" s="31" t="s">
        <v>3458</v>
      </c>
      <c r="B1363" s="32" t="s">
        <v>3459</v>
      </c>
    </row>
    <row r="1364" spans="1:2" x14ac:dyDescent="0.25">
      <c r="A1364" s="29" t="s">
        <v>3460</v>
      </c>
      <c r="B1364" s="30" t="s">
        <v>3461</v>
      </c>
    </row>
    <row r="1365" spans="1:2" x14ac:dyDescent="0.25">
      <c r="A1365" s="31" t="s">
        <v>3462</v>
      </c>
      <c r="B1365" s="32" t="s">
        <v>3463</v>
      </c>
    </row>
    <row r="1366" spans="1:2" x14ac:dyDescent="0.25">
      <c r="A1366" s="29" t="s">
        <v>3464</v>
      </c>
      <c r="B1366" s="30" t="s">
        <v>3465</v>
      </c>
    </row>
    <row r="1367" spans="1:2" x14ac:dyDescent="0.25">
      <c r="A1367" s="31" t="s">
        <v>3466</v>
      </c>
      <c r="B1367" s="32" t="s">
        <v>3467</v>
      </c>
    </row>
    <row r="1368" spans="1:2" x14ac:dyDescent="0.25">
      <c r="A1368" s="29" t="s">
        <v>3468</v>
      </c>
      <c r="B1368" s="30" t="s">
        <v>3469</v>
      </c>
    </row>
    <row r="1369" spans="1:2" x14ac:dyDescent="0.25">
      <c r="A1369" s="31" t="s">
        <v>3470</v>
      </c>
      <c r="B1369" s="32" t="s">
        <v>3471</v>
      </c>
    </row>
    <row r="1370" spans="1:2" x14ac:dyDescent="0.25">
      <c r="A1370" s="29" t="s">
        <v>3472</v>
      </c>
      <c r="B1370" s="30" t="s">
        <v>3473</v>
      </c>
    </row>
    <row r="1371" spans="1:2" x14ac:dyDescent="0.25">
      <c r="A1371" s="31" t="s">
        <v>3474</v>
      </c>
      <c r="B1371" s="32" t="s">
        <v>3475</v>
      </c>
    </row>
    <row r="1372" spans="1:2" x14ac:dyDescent="0.25">
      <c r="A1372" s="29" t="s">
        <v>3476</v>
      </c>
      <c r="B1372" s="30" t="s">
        <v>3477</v>
      </c>
    </row>
    <row r="1373" spans="1:2" x14ac:dyDescent="0.25">
      <c r="A1373" s="31" t="s">
        <v>3478</v>
      </c>
      <c r="B1373" s="32" t="s">
        <v>3479</v>
      </c>
    </row>
    <row r="1374" spans="1:2" x14ac:dyDescent="0.25">
      <c r="A1374" s="29" t="s">
        <v>3480</v>
      </c>
      <c r="B1374" s="30" t="s">
        <v>3481</v>
      </c>
    </row>
    <row r="1375" spans="1:2" x14ac:dyDescent="0.25">
      <c r="A1375" s="31" t="s">
        <v>3482</v>
      </c>
      <c r="B1375" s="32" t="s">
        <v>3483</v>
      </c>
    </row>
    <row r="1376" spans="1:2" x14ac:dyDescent="0.25">
      <c r="A1376" s="29" t="s">
        <v>3484</v>
      </c>
      <c r="B1376" s="30" t="s">
        <v>3485</v>
      </c>
    </row>
    <row r="1377" spans="1:2" x14ac:dyDescent="0.25">
      <c r="A1377" s="31" t="s">
        <v>3486</v>
      </c>
      <c r="B1377" s="32" t="s">
        <v>3487</v>
      </c>
    </row>
    <row r="1378" spans="1:2" x14ac:dyDescent="0.25">
      <c r="A1378" s="29" t="s">
        <v>3488</v>
      </c>
      <c r="B1378" s="30" t="s">
        <v>3489</v>
      </c>
    </row>
    <row r="1379" spans="1:2" x14ac:dyDescent="0.25">
      <c r="A1379" s="31" t="s">
        <v>3490</v>
      </c>
      <c r="B1379" s="32" t="s">
        <v>3491</v>
      </c>
    </row>
    <row r="1380" spans="1:2" x14ac:dyDescent="0.25">
      <c r="A1380" s="29" t="s">
        <v>3492</v>
      </c>
      <c r="B1380" s="30" t="s">
        <v>3493</v>
      </c>
    </row>
    <row r="1381" spans="1:2" x14ac:dyDescent="0.25">
      <c r="A1381" s="31" t="s">
        <v>3494</v>
      </c>
      <c r="B1381" s="32" t="s">
        <v>3495</v>
      </c>
    </row>
    <row r="1382" spans="1:2" x14ac:dyDescent="0.25">
      <c r="A1382" s="29" t="s">
        <v>3496</v>
      </c>
      <c r="B1382" s="30" t="s">
        <v>3497</v>
      </c>
    </row>
    <row r="1383" spans="1:2" x14ac:dyDescent="0.25">
      <c r="A1383" s="31" t="s">
        <v>3498</v>
      </c>
      <c r="B1383" s="32" t="s">
        <v>3499</v>
      </c>
    </row>
    <row r="1384" spans="1:2" x14ac:dyDescent="0.25">
      <c r="A1384" s="29" t="s">
        <v>3500</v>
      </c>
      <c r="B1384" s="30" t="s">
        <v>3501</v>
      </c>
    </row>
    <row r="1385" spans="1:2" x14ac:dyDescent="0.25">
      <c r="A1385" s="31" t="s">
        <v>3502</v>
      </c>
      <c r="B1385" s="32" t="s">
        <v>3503</v>
      </c>
    </row>
    <row r="1386" spans="1:2" x14ac:dyDescent="0.25">
      <c r="A1386" s="29" t="s">
        <v>3504</v>
      </c>
      <c r="B1386" s="30" t="s">
        <v>3505</v>
      </c>
    </row>
    <row r="1387" spans="1:2" x14ac:dyDescent="0.25">
      <c r="A1387" s="31" t="s">
        <v>3506</v>
      </c>
      <c r="B1387" s="32" t="s">
        <v>3507</v>
      </c>
    </row>
    <row r="1388" spans="1:2" x14ac:dyDescent="0.25">
      <c r="A1388" s="29" t="s">
        <v>3508</v>
      </c>
      <c r="B1388" s="30" t="s">
        <v>3509</v>
      </c>
    </row>
    <row r="1389" spans="1:2" x14ac:dyDescent="0.25">
      <c r="A1389" s="31" t="s">
        <v>3510</v>
      </c>
      <c r="B1389" s="32" t="s">
        <v>3511</v>
      </c>
    </row>
    <row r="1390" spans="1:2" x14ac:dyDescent="0.25">
      <c r="A1390" s="29" t="s">
        <v>3512</v>
      </c>
      <c r="B1390" s="30" t="s">
        <v>3513</v>
      </c>
    </row>
    <row r="1391" spans="1:2" x14ac:dyDescent="0.25">
      <c r="A1391" s="31" t="s">
        <v>3514</v>
      </c>
      <c r="B1391" s="32" t="s">
        <v>3515</v>
      </c>
    </row>
    <row r="1392" spans="1:2" x14ac:dyDescent="0.25">
      <c r="A1392" s="29" t="s">
        <v>3516</v>
      </c>
      <c r="B1392" s="30" t="s">
        <v>3517</v>
      </c>
    </row>
    <row r="1393" spans="1:2" x14ac:dyDescent="0.25">
      <c r="A1393" s="31" t="s">
        <v>3518</v>
      </c>
      <c r="B1393" s="32" t="s">
        <v>3519</v>
      </c>
    </row>
    <row r="1394" spans="1:2" x14ac:dyDescent="0.25">
      <c r="A1394" s="29" t="s">
        <v>3520</v>
      </c>
      <c r="B1394" s="30" t="s">
        <v>3521</v>
      </c>
    </row>
    <row r="1395" spans="1:2" x14ac:dyDescent="0.25">
      <c r="A1395" s="31" t="s">
        <v>3522</v>
      </c>
      <c r="B1395" s="32" t="s">
        <v>3523</v>
      </c>
    </row>
    <row r="1396" spans="1:2" x14ac:dyDescent="0.25">
      <c r="A1396" s="29" t="s">
        <v>3524</v>
      </c>
      <c r="B1396" s="30" t="s">
        <v>3525</v>
      </c>
    </row>
    <row r="1397" spans="1:2" x14ac:dyDescent="0.25">
      <c r="A1397" s="31" t="s">
        <v>3526</v>
      </c>
      <c r="B1397" s="32" t="s">
        <v>3527</v>
      </c>
    </row>
    <row r="1398" spans="1:2" x14ac:dyDescent="0.25">
      <c r="A1398" s="29" t="s">
        <v>3528</v>
      </c>
      <c r="B1398" s="30" t="s">
        <v>3529</v>
      </c>
    </row>
    <row r="1399" spans="1:2" x14ac:dyDescent="0.25">
      <c r="A1399" s="31" t="s">
        <v>3530</v>
      </c>
      <c r="B1399" s="32" t="s">
        <v>3531</v>
      </c>
    </row>
    <row r="1400" spans="1:2" x14ac:dyDescent="0.25">
      <c r="A1400" s="29" t="s">
        <v>3532</v>
      </c>
      <c r="B1400" s="30" t="s">
        <v>3533</v>
      </c>
    </row>
    <row r="1401" spans="1:2" x14ac:dyDescent="0.25">
      <c r="A1401" s="31" t="s">
        <v>3534</v>
      </c>
      <c r="B1401" s="32" t="s">
        <v>3535</v>
      </c>
    </row>
    <row r="1402" spans="1:2" x14ac:dyDescent="0.25">
      <c r="A1402" s="29" t="s">
        <v>3536</v>
      </c>
      <c r="B1402" s="30" t="s">
        <v>3537</v>
      </c>
    </row>
    <row r="1403" spans="1:2" x14ac:dyDescent="0.25">
      <c r="A1403" s="31" t="s">
        <v>3538</v>
      </c>
      <c r="B1403" s="32" t="s">
        <v>3539</v>
      </c>
    </row>
    <row r="1404" spans="1:2" x14ac:dyDescent="0.25">
      <c r="A1404" s="29" t="s">
        <v>3540</v>
      </c>
      <c r="B1404" s="30" t="s">
        <v>3541</v>
      </c>
    </row>
    <row r="1405" spans="1:2" x14ac:dyDescent="0.25">
      <c r="A1405" s="31" t="s">
        <v>3542</v>
      </c>
      <c r="B1405" s="32" t="s">
        <v>3543</v>
      </c>
    </row>
    <row r="1406" spans="1:2" x14ac:dyDescent="0.25">
      <c r="A1406" s="29" t="s">
        <v>3544</v>
      </c>
      <c r="B1406" s="30" t="s">
        <v>3545</v>
      </c>
    </row>
    <row r="1407" spans="1:2" x14ac:dyDescent="0.25">
      <c r="A1407" s="31" t="s">
        <v>3546</v>
      </c>
      <c r="B1407" s="32" t="s">
        <v>3547</v>
      </c>
    </row>
    <row r="1408" spans="1:2" x14ac:dyDescent="0.25">
      <c r="A1408" s="29" t="s">
        <v>3548</v>
      </c>
      <c r="B1408" s="30" t="s">
        <v>3549</v>
      </c>
    </row>
    <row r="1409" spans="1:2" x14ac:dyDescent="0.25">
      <c r="A1409" s="31" t="s">
        <v>3550</v>
      </c>
      <c r="B1409" s="32" t="s">
        <v>3551</v>
      </c>
    </row>
    <row r="1410" spans="1:2" x14ac:dyDescent="0.25">
      <c r="A1410" s="29" t="s">
        <v>3552</v>
      </c>
      <c r="B1410" s="30" t="s">
        <v>3553</v>
      </c>
    </row>
    <row r="1411" spans="1:2" x14ac:dyDescent="0.25">
      <c r="A1411" s="31" t="s">
        <v>3554</v>
      </c>
      <c r="B1411" s="32" t="s">
        <v>3555</v>
      </c>
    </row>
    <row r="1412" spans="1:2" x14ac:dyDescent="0.25">
      <c r="A1412" s="29" t="s">
        <v>3556</v>
      </c>
      <c r="B1412" s="30" t="s">
        <v>3557</v>
      </c>
    </row>
    <row r="1413" spans="1:2" x14ac:dyDescent="0.25">
      <c r="A1413" s="31" t="s">
        <v>3558</v>
      </c>
      <c r="B1413" s="32" t="s">
        <v>3559</v>
      </c>
    </row>
    <row r="1414" spans="1:2" x14ac:dyDescent="0.25">
      <c r="A1414" s="29" t="s">
        <v>3560</v>
      </c>
      <c r="B1414" s="30" t="s">
        <v>3561</v>
      </c>
    </row>
    <row r="1415" spans="1:2" x14ac:dyDescent="0.25">
      <c r="A1415" s="31" t="s">
        <v>3562</v>
      </c>
      <c r="B1415" s="32" t="s">
        <v>3563</v>
      </c>
    </row>
    <row r="1416" spans="1:2" x14ac:dyDescent="0.25">
      <c r="A1416" s="29" t="s">
        <v>3564</v>
      </c>
      <c r="B1416" s="30" t="s">
        <v>3565</v>
      </c>
    </row>
    <row r="1417" spans="1:2" x14ac:dyDescent="0.25">
      <c r="A1417" s="31" t="s">
        <v>3566</v>
      </c>
      <c r="B1417" s="32" t="s">
        <v>3567</v>
      </c>
    </row>
    <row r="1418" spans="1:2" x14ac:dyDescent="0.25">
      <c r="A1418" s="29" t="s">
        <v>3568</v>
      </c>
      <c r="B1418" s="30" t="s">
        <v>3569</v>
      </c>
    </row>
    <row r="1419" spans="1:2" x14ac:dyDescent="0.25">
      <c r="A1419" s="31" t="s">
        <v>3570</v>
      </c>
      <c r="B1419" s="32" t="s">
        <v>3571</v>
      </c>
    </row>
    <row r="1420" spans="1:2" x14ac:dyDescent="0.25">
      <c r="A1420" s="29" t="s">
        <v>3572</v>
      </c>
      <c r="B1420" s="30" t="s">
        <v>3573</v>
      </c>
    </row>
    <row r="1421" spans="1:2" x14ac:dyDescent="0.25">
      <c r="A1421" s="31" t="s">
        <v>3574</v>
      </c>
      <c r="B1421" s="32" t="s">
        <v>3575</v>
      </c>
    </row>
    <row r="1422" spans="1:2" x14ac:dyDescent="0.25">
      <c r="A1422" s="29" t="s">
        <v>3576</v>
      </c>
      <c r="B1422" s="30" t="s">
        <v>3577</v>
      </c>
    </row>
    <row r="1423" spans="1:2" x14ac:dyDescent="0.25">
      <c r="A1423" s="31" t="s">
        <v>3578</v>
      </c>
      <c r="B1423" s="32" t="s">
        <v>3579</v>
      </c>
    </row>
    <row r="1424" spans="1:2" x14ac:dyDescent="0.25">
      <c r="A1424" s="29" t="s">
        <v>3580</v>
      </c>
      <c r="B1424" s="30" t="s">
        <v>3581</v>
      </c>
    </row>
    <row r="1425" spans="1:2" x14ac:dyDescent="0.25">
      <c r="A1425" s="31" t="s">
        <v>3582</v>
      </c>
      <c r="B1425" s="32" t="s">
        <v>3583</v>
      </c>
    </row>
    <row r="1426" spans="1:2" x14ac:dyDescent="0.25">
      <c r="A1426" s="29" t="s">
        <v>3584</v>
      </c>
      <c r="B1426" s="30" t="s">
        <v>3585</v>
      </c>
    </row>
    <row r="1427" spans="1:2" x14ac:dyDescent="0.25">
      <c r="A1427" s="31" t="s">
        <v>3586</v>
      </c>
      <c r="B1427" s="32" t="s">
        <v>3587</v>
      </c>
    </row>
    <row r="1428" spans="1:2" x14ac:dyDescent="0.25">
      <c r="A1428" s="29" t="s">
        <v>3588</v>
      </c>
      <c r="B1428" s="30" t="s">
        <v>3589</v>
      </c>
    </row>
    <row r="1429" spans="1:2" x14ac:dyDescent="0.25">
      <c r="A1429" s="31" t="s">
        <v>3590</v>
      </c>
      <c r="B1429" s="32" t="s">
        <v>3591</v>
      </c>
    </row>
    <row r="1430" spans="1:2" x14ac:dyDescent="0.25">
      <c r="A1430" s="29" t="s">
        <v>3592</v>
      </c>
      <c r="B1430" s="30" t="s">
        <v>3593</v>
      </c>
    </row>
    <row r="1431" spans="1:2" x14ac:dyDescent="0.25">
      <c r="A1431" s="31" t="s">
        <v>3594</v>
      </c>
      <c r="B1431" s="32" t="s">
        <v>3595</v>
      </c>
    </row>
    <row r="1432" spans="1:2" x14ac:dyDescent="0.25">
      <c r="A1432" s="29" t="s">
        <v>3596</v>
      </c>
      <c r="B1432" s="30" t="s">
        <v>3597</v>
      </c>
    </row>
    <row r="1433" spans="1:2" x14ac:dyDescent="0.25">
      <c r="A1433" s="31" t="s">
        <v>3598</v>
      </c>
      <c r="B1433" s="32" t="s">
        <v>3599</v>
      </c>
    </row>
    <row r="1434" spans="1:2" x14ac:dyDescent="0.25">
      <c r="A1434" s="29" t="s">
        <v>3600</v>
      </c>
      <c r="B1434" s="30" t="s">
        <v>3601</v>
      </c>
    </row>
    <row r="1435" spans="1:2" x14ac:dyDescent="0.25">
      <c r="A1435" s="31" t="s">
        <v>3602</v>
      </c>
      <c r="B1435" s="32" t="s">
        <v>3603</v>
      </c>
    </row>
    <row r="1436" spans="1:2" x14ac:dyDescent="0.25">
      <c r="A1436" s="29" t="s">
        <v>3604</v>
      </c>
      <c r="B1436" s="30" t="s">
        <v>3605</v>
      </c>
    </row>
    <row r="1437" spans="1:2" x14ac:dyDescent="0.25">
      <c r="A1437" s="31" t="s">
        <v>3606</v>
      </c>
      <c r="B1437" s="32" t="s">
        <v>3607</v>
      </c>
    </row>
    <row r="1438" spans="1:2" x14ac:dyDescent="0.25">
      <c r="A1438" s="29" t="s">
        <v>3608</v>
      </c>
      <c r="B1438" s="30" t="s">
        <v>3609</v>
      </c>
    </row>
    <row r="1439" spans="1:2" x14ac:dyDescent="0.25">
      <c r="A1439" s="31" t="s">
        <v>3610</v>
      </c>
      <c r="B1439" s="32" t="s">
        <v>3611</v>
      </c>
    </row>
    <row r="1440" spans="1:2" x14ac:dyDescent="0.25">
      <c r="A1440" s="29" t="s">
        <v>3612</v>
      </c>
      <c r="B1440" s="30" t="s">
        <v>3613</v>
      </c>
    </row>
    <row r="1441" spans="1:2" x14ac:dyDescent="0.25">
      <c r="A1441" s="31" t="s">
        <v>3614</v>
      </c>
      <c r="B1441" s="32" t="s">
        <v>3615</v>
      </c>
    </row>
    <row r="1442" spans="1:2" x14ac:dyDescent="0.25">
      <c r="A1442" s="29" t="s">
        <v>3616</v>
      </c>
      <c r="B1442" s="30" t="s">
        <v>3617</v>
      </c>
    </row>
    <row r="1443" spans="1:2" x14ac:dyDescent="0.25">
      <c r="A1443" s="29" t="s">
        <v>3618</v>
      </c>
      <c r="B1443" s="30" t="s">
        <v>3619</v>
      </c>
    </row>
    <row r="1444" spans="1:2" x14ac:dyDescent="0.25">
      <c r="A1444" s="31" t="s">
        <v>3620</v>
      </c>
      <c r="B1444" s="32" t="s">
        <v>3621</v>
      </c>
    </row>
    <row r="1445" spans="1:2" x14ac:dyDescent="0.25">
      <c r="A1445" s="31" t="s">
        <v>3622</v>
      </c>
      <c r="B1445" s="32" t="s">
        <v>3623</v>
      </c>
    </row>
    <row r="1446" spans="1:2" x14ac:dyDescent="0.25">
      <c r="A1446" s="29" t="s">
        <v>3624</v>
      </c>
      <c r="B1446" s="30" t="s">
        <v>3625</v>
      </c>
    </row>
    <row r="1447" spans="1:2" x14ac:dyDescent="0.25">
      <c r="A1447" s="31" t="s">
        <v>3626</v>
      </c>
      <c r="B1447" s="32" t="s">
        <v>3627</v>
      </c>
    </row>
    <row r="1448" spans="1:2" x14ac:dyDescent="0.25">
      <c r="A1448" s="29" t="s">
        <v>3628</v>
      </c>
      <c r="B1448" s="30" t="s">
        <v>3629</v>
      </c>
    </row>
    <row r="1449" spans="1:2" x14ac:dyDescent="0.25">
      <c r="A1449" s="31" t="s">
        <v>3630</v>
      </c>
      <c r="B1449" s="32" t="s">
        <v>3631</v>
      </c>
    </row>
    <row r="1450" spans="1:2" x14ac:dyDescent="0.25">
      <c r="A1450" s="29" t="s">
        <v>3632</v>
      </c>
      <c r="B1450" s="30" t="s">
        <v>3633</v>
      </c>
    </row>
    <row r="1451" spans="1:2" x14ac:dyDescent="0.25">
      <c r="A1451" s="31" t="s">
        <v>249</v>
      </c>
      <c r="B1451" s="32" t="s">
        <v>3634</v>
      </c>
    </row>
    <row r="1452" spans="1:2" x14ac:dyDescent="0.25">
      <c r="A1452" s="29" t="s">
        <v>3635</v>
      </c>
      <c r="B1452" s="30" t="s">
        <v>3636</v>
      </c>
    </row>
    <row r="1453" spans="1:2" x14ac:dyDescent="0.25">
      <c r="A1453" s="31" t="s">
        <v>3637</v>
      </c>
      <c r="B1453" s="32" t="s">
        <v>3638</v>
      </c>
    </row>
    <row r="1454" spans="1:2" x14ac:dyDescent="0.25">
      <c r="A1454" s="29" t="s">
        <v>3639</v>
      </c>
      <c r="B1454" s="30" t="s">
        <v>3640</v>
      </c>
    </row>
    <row r="1455" spans="1:2" x14ac:dyDescent="0.25">
      <c r="A1455" s="31" t="s">
        <v>3641</v>
      </c>
      <c r="B1455" s="32" t="s">
        <v>3642</v>
      </c>
    </row>
    <row r="1456" spans="1:2" x14ac:dyDescent="0.25">
      <c r="A1456" s="29" t="s">
        <v>3643</v>
      </c>
      <c r="B1456" s="30" t="s">
        <v>3644</v>
      </c>
    </row>
    <row r="1457" spans="1:2" x14ac:dyDescent="0.25">
      <c r="A1457" s="31" t="s">
        <v>3645</v>
      </c>
      <c r="B1457" s="32" t="s">
        <v>3646</v>
      </c>
    </row>
    <row r="1458" spans="1:2" x14ac:dyDescent="0.25">
      <c r="A1458" s="33" t="s">
        <v>107</v>
      </c>
      <c r="B1458" s="34" t="s">
        <v>3647</v>
      </c>
    </row>
    <row r="1459" spans="1:2" x14ac:dyDescent="0.25">
      <c r="A1459" s="33" t="s">
        <v>3648</v>
      </c>
      <c r="B1459" s="34" t="s">
        <v>3649</v>
      </c>
    </row>
    <row r="1460" spans="1:2" x14ac:dyDescent="0.25">
      <c r="A1460" s="33" t="s">
        <v>3650</v>
      </c>
      <c r="B1460" s="34" t="s">
        <v>3651</v>
      </c>
    </row>
    <row r="1461" spans="1:2" x14ac:dyDescent="0.25">
      <c r="A1461" s="33" t="s">
        <v>3652</v>
      </c>
      <c r="B1461" s="34" t="s">
        <v>3653</v>
      </c>
    </row>
    <row r="1462" spans="1:2" x14ac:dyDescent="0.25">
      <c r="A1462" s="33" t="s">
        <v>3654</v>
      </c>
      <c r="B1462" s="34" t="s">
        <v>3655</v>
      </c>
    </row>
    <row r="1463" spans="1:2" x14ac:dyDescent="0.25">
      <c r="A1463" s="33" t="s">
        <v>3656</v>
      </c>
      <c r="B1463" s="34" t="s">
        <v>3657</v>
      </c>
    </row>
    <row r="1464" spans="1:2" x14ac:dyDescent="0.25">
      <c r="A1464" s="33" t="s">
        <v>639</v>
      </c>
      <c r="B1464" s="34" t="s">
        <v>3658</v>
      </c>
    </row>
    <row r="1465" spans="1:2" x14ac:dyDescent="0.25">
      <c r="A1465" s="33" t="s">
        <v>3659</v>
      </c>
      <c r="B1465" s="34" t="s">
        <v>3660</v>
      </c>
    </row>
    <row r="1466" spans="1:2" x14ac:dyDescent="0.25">
      <c r="A1466" s="33" t="s">
        <v>3661</v>
      </c>
      <c r="B1466" s="34" t="s">
        <v>3662</v>
      </c>
    </row>
    <row r="1467" spans="1:2" x14ac:dyDescent="0.25">
      <c r="A1467" s="33" t="s">
        <v>3663</v>
      </c>
      <c r="B1467" s="34" t="s">
        <v>3664</v>
      </c>
    </row>
    <row r="1468" spans="1:2" x14ac:dyDescent="0.25">
      <c r="A1468" s="33" t="s">
        <v>3665</v>
      </c>
      <c r="B1468" s="34" t="s">
        <v>3666</v>
      </c>
    </row>
    <row r="1469" spans="1:2" x14ac:dyDescent="0.25">
      <c r="A1469" s="33" t="s">
        <v>3667</v>
      </c>
      <c r="B1469" s="34" t="s">
        <v>3668</v>
      </c>
    </row>
    <row r="1470" spans="1:2" x14ac:dyDescent="0.25">
      <c r="A1470" s="33" t="s">
        <v>3669</v>
      </c>
      <c r="B1470" s="34" t="s">
        <v>3670</v>
      </c>
    </row>
    <row r="1471" spans="1:2" x14ac:dyDescent="0.25">
      <c r="A1471" s="33" t="s">
        <v>3671</v>
      </c>
      <c r="B1471" s="34" t="s">
        <v>3672</v>
      </c>
    </row>
    <row r="1472" spans="1:2" x14ac:dyDescent="0.25">
      <c r="A1472" s="33" t="s">
        <v>3673</v>
      </c>
      <c r="B1472" s="34" t="s">
        <v>3674</v>
      </c>
    </row>
    <row r="1473" spans="1:2" x14ac:dyDescent="0.25">
      <c r="A1473" s="33" t="s">
        <v>3675</v>
      </c>
      <c r="B1473" s="34" t="s">
        <v>3676</v>
      </c>
    </row>
    <row r="1474" spans="1:2" x14ac:dyDescent="0.25">
      <c r="A1474" s="33" t="s">
        <v>3677</v>
      </c>
      <c r="B1474" s="34" t="s">
        <v>3678</v>
      </c>
    </row>
    <row r="1475" spans="1:2" x14ac:dyDescent="0.25">
      <c r="A1475" s="33" t="s">
        <v>3679</v>
      </c>
      <c r="B1475" s="34" t="s">
        <v>3680</v>
      </c>
    </row>
    <row r="1476" spans="1:2" x14ac:dyDescent="0.25">
      <c r="A1476" s="33" t="s">
        <v>3681</v>
      </c>
      <c r="B1476" s="34" t="s">
        <v>3682</v>
      </c>
    </row>
    <row r="1477" spans="1:2" x14ac:dyDescent="0.25">
      <c r="A1477" s="33" t="s">
        <v>3683</v>
      </c>
      <c r="B1477" s="34" t="s">
        <v>3684</v>
      </c>
    </row>
    <row r="1478" spans="1:2" x14ac:dyDescent="0.25">
      <c r="A1478" s="33" t="s">
        <v>3685</v>
      </c>
      <c r="B1478" s="34" t="s">
        <v>3686</v>
      </c>
    </row>
    <row r="1479" spans="1:2" x14ac:dyDescent="0.25">
      <c r="A1479" s="33" t="s">
        <v>3687</v>
      </c>
      <c r="B1479" s="34" t="s">
        <v>3688</v>
      </c>
    </row>
    <row r="1480" spans="1:2" x14ac:dyDescent="0.25">
      <c r="A1480" s="33" t="s">
        <v>3689</v>
      </c>
      <c r="B1480" s="34" t="s">
        <v>3690</v>
      </c>
    </row>
    <row r="1481" spans="1:2" x14ac:dyDescent="0.25">
      <c r="A1481" s="33" t="s">
        <v>3691</v>
      </c>
      <c r="B1481" s="34" t="s">
        <v>3692</v>
      </c>
    </row>
    <row r="1482" spans="1:2" x14ac:dyDescent="0.25">
      <c r="A1482" s="33" t="s">
        <v>3693</v>
      </c>
      <c r="B1482" s="34" t="s">
        <v>3694</v>
      </c>
    </row>
    <row r="1483" spans="1:2" x14ac:dyDescent="0.25">
      <c r="A1483" s="33" t="s">
        <v>381</v>
      </c>
      <c r="B1483" s="34" t="s">
        <v>3695</v>
      </c>
    </row>
    <row r="1484" spans="1:2" x14ac:dyDescent="0.25">
      <c r="A1484" s="33" t="s">
        <v>3696</v>
      </c>
      <c r="B1484" s="34" t="s">
        <v>3697</v>
      </c>
    </row>
    <row r="1485" spans="1:2" x14ac:dyDescent="0.25">
      <c r="A1485" s="33" t="s">
        <v>3698</v>
      </c>
      <c r="B1485" s="34" t="s">
        <v>3699</v>
      </c>
    </row>
    <row r="1486" spans="1:2" x14ac:dyDescent="0.25">
      <c r="A1486" s="33" t="s">
        <v>3700</v>
      </c>
      <c r="B1486" s="34" t="s">
        <v>3701</v>
      </c>
    </row>
    <row r="1487" spans="1:2" x14ac:dyDescent="0.25">
      <c r="A1487" s="33" t="s">
        <v>3702</v>
      </c>
      <c r="B1487" s="34" t="s">
        <v>3703</v>
      </c>
    </row>
    <row r="1488" spans="1:2" x14ac:dyDescent="0.25">
      <c r="A1488" s="33" t="s">
        <v>3704</v>
      </c>
      <c r="B1488" s="34" t="s">
        <v>3705</v>
      </c>
    </row>
    <row r="1489" spans="1:2" x14ac:dyDescent="0.25">
      <c r="A1489" s="33" t="s">
        <v>3706</v>
      </c>
      <c r="B1489" s="34" t="s">
        <v>3707</v>
      </c>
    </row>
    <row r="1490" spans="1:2" x14ac:dyDescent="0.25">
      <c r="A1490" s="33" t="s">
        <v>3708</v>
      </c>
      <c r="B1490" s="34" t="s">
        <v>3709</v>
      </c>
    </row>
    <row r="1491" spans="1:2" x14ac:dyDescent="0.25">
      <c r="A1491" s="33" t="s">
        <v>3710</v>
      </c>
      <c r="B1491" s="34" t="s">
        <v>3711</v>
      </c>
    </row>
    <row r="1492" spans="1:2" x14ac:dyDescent="0.25">
      <c r="A1492" s="33" t="s">
        <v>3712</v>
      </c>
      <c r="B1492" s="34" t="s">
        <v>3713</v>
      </c>
    </row>
    <row r="1493" spans="1:2" x14ac:dyDescent="0.25">
      <c r="A1493" s="33" t="s">
        <v>3714</v>
      </c>
      <c r="B1493" s="34" t="s">
        <v>3715</v>
      </c>
    </row>
    <row r="1494" spans="1:2" x14ac:dyDescent="0.25">
      <c r="A1494" s="33" t="s">
        <v>3716</v>
      </c>
      <c r="B1494" s="34" t="s">
        <v>3717</v>
      </c>
    </row>
    <row r="1495" spans="1:2" x14ac:dyDescent="0.25">
      <c r="A1495" s="33" t="s">
        <v>3718</v>
      </c>
      <c r="B1495" s="34" t="s">
        <v>3719</v>
      </c>
    </row>
    <row r="1496" spans="1:2" x14ac:dyDescent="0.25">
      <c r="A1496" s="33" t="s">
        <v>3720</v>
      </c>
      <c r="B1496" s="34" t="s">
        <v>3721</v>
      </c>
    </row>
    <row r="1497" spans="1:2" x14ac:dyDescent="0.25">
      <c r="A1497" s="33" t="s">
        <v>3722</v>
      </c>
      <c r="B1497" s="34" t="s">
        <v>3723</v>
      </c>
    </row>
    <row r="1498" spans="1:2" x14ac:dyDescent="0.25">
      <c r="A1498" s="33" t="s">
        <v>3724</v>
      </c>
      <c r="B1498" s="34" t="s">
        <v>3725</v>
      </c>
    </row>
    <row r="1499" spans="1:2" x14ac:dyDescent="0.25">
      <c r="A1499" s="33" t="s">
        <v>3726</v>
      </c>
      <c r="B1499" s="34" t="s">
        <v>3727</v>
      </c>
    </row>
    <row r="1500" spans="1:2" x14ac:dyDescent="0.25">
      <c r="A1500" s="33" t="s">
        <v>3728</v>
      </c>
      <c r="B1500" s="34" t="s">
        <v>3729</v>
      </c>
    </row>
    <row r="1501" spans="1:2" x14ac:dyDescent="0.25">
      <c r="A1501" s="33" t="s">
        <v>3730</v>
      </c>
      <c r="B1501" s="34" t="s">
        <v>3731</v>
      </c>
    </row>
    <row r="1502" spans="1:2" x14ac:dyDescent="0.25">
      <c r="A1502" s="33" t="s">
        <v>3732</v>
      </c>
      <c r="B1502" s="34" t="s">
        <v>3733</v>
      </c>
    </row>
    <row r="1503" spans="1:2" x14ac:dyDescent="0.25">
      <c r="A1503" s="33" t="s">
        <v>3734</v>
      </c>
      <c r="B1503" s="34" t="s">
        <v>3735</v>
      </c>
    </row>
    <row r="1504" spans="1:2" x14ac:dyDescent="0.25">
      <c r="A1504" s="33" t="s">
        <v>3736</v>
      </c>
      <c r="B1504" s="34" t="s">
        <v>3737</v>
      </c>
    </row>
    <row r="1505" spans="1:2" x14ac:dyDescent="0.25">
      <c r="A1505" s="33" t="s">
        <v>3738</v>
      </c>
      <c r="B1505" s="34" t="s">
        <v>3739</v>
      </c>
    </row>
    <row r="1506" spans="1:2" x14ac:dyDescent="0.25">
      <c r="A1506" s="33" t="s">
        <v>3740</v>
      </c>
      <c r="B1506" s="34" t="s">
        <v>3741</v>
      </c>
    </row>
    <row r="1507" spans="1:2" x14ac:dyDescent="0.25">
      <c r="A1507" s="33" t="s">
        <v>3742</v>
      </c>
      <c r="B1507" s="34" t="s">
        <v>3743</v>
      </c>
    </row>
    <row r="1508" spans="1:2" x14ac:dyDescent="0.25">
      <c r="A1508" s="33" t="s">
        <v>3744</v>
      </c>
      <c r="B1508" s="34" t="s">
        <v>3745</v>
      </c>
    </row>
    <row r="1509" spans="1:2" x14ac:dyDescent="0.25">
      <c r="A1509" s="33" t="s">
        <v>3746</v>
      </c>
      <c r="B1509" s="34" t="s">
        <v>3747</v>
      </c>
    </row>
    <row r="1510" spans="1:2" x14ac:dyDescent="0.25">
      <c r="A1510" s="33" t="s">
        <v>3748</v>
      </c>
      <c r="B1510" s="34" t="s">
        <v>3749</v>
      </c>
    </row>
    <row r="1511" spans="1:2" x14ac:dyDescent="0.25">
      <c r="A1511" s="33" t="s">
        <v>3750</v>
      </c>
      <c r="B1511" s="34" t="s">
        <v>3751</v>
      </c>
    </row>
    <row r="1512" spans="1:2" x14ac:dyDescent="0.25">
      <c r="A1512" s="33" t="s">
        <v>3752</v>
      </c>
      <c r="B1512" s="34" t="s">
        <v>3753</v>
      </c>
    </row>
    <row r="1513" spans="1:2" x14ac:dyDescent="0.25">
      <c r="A1513" s="33" t="s">
        <v>3754</v>
      </c>
      <c r="B1513" s="34" t="s">
        <v>3755</v>
      </c>
    </row>
    <row r="1514" spans="1:2" x14ac:dyDescent="0.25">
      <c r="A1514" s="33" t="s">
        <v>3756</v>
      </c>
      <c r="B1514" s="34" t="s">
        <v>3757</v>
      </c>
    </row>
    <row r="1515" spans="1:2" x14ac:dyDescent="0.25">
      <c r="A1515" s="33" t="s">
        <v>3758</v>
      </c>
      <c r="B1515" s="34" t="s">
        <v>3759</v>
      </c>
    </row>
    <row r="1516" spans="1:2" x14ac:dyDescent="0.25">
      <c r="A1516" s="33" t="s">
        <v>3760</v>
      </c>
      <c r="B1516" s="34" t="s">
        <v>3761</v>
      </c>
    </row>
    <row r="1517" spans="1:2" x14ac:dyDescent="0.25">
      <c r="A1517" s="33" t="s">
        <v>3762</v>
      </c>
      <c r="B1517" s="34" t="s">
        <v>3763</v>
      </c>
    </row>
    <row r="1518" spans="1:2" x14ac:dyDescent="0.25">
      <c r="A1518" s="33" t="s">
        <v>3764</v>
      </c>
      <c r="B1518" s="34" t="s">
        <v>3765</v>
      </c>
    </row>
    <row r="1519" spans="1:2" x14ac:dyDescent="0.25">
      <c r="A1519" s="33" t="s">
        <v>3766</v>
      </c>
      <c r="B1519" s="34" t="s">
        <v>3767</v>
      </c>
    </row>
    <row r="1520" spans="1:2" x14ac:dyDescent="0.25">
      <c r="A1520" s="33" t="s">
        <v>3768</v>
      </c>
      <c r="B1520" s="34" t="s">
        <v>3769</v>
      </c>
    </row>
    <row r="1521" spans="1:2" x14ac:dyDescent="0.25">
      <c r="A1521" s="33" t="s">
        <v>3770</v>
      </c>
      <c r="B1521" s="34" t="s">
        <v>3771</v>
      </c>
    </row>
    <row r="1522" spans="1:2" x14ac:dyDescent="0.25">
      <c r="A1522" s="33" t="s">
        <v>3772</v>
      </c>
      <c r="B1522" s="34" t="s">
        <v>3773</v>
      </c>
    </row>
    <row r="1523" spans="1:2" x14ac:dyDescent="0.25">
      <c r="A1523" s="33" t="s">
        <v>3774</v>
      </c>
      <c r="B1523" s="34" t="s">
        <v>3775</v>
      </c>
    </row>
    <row r="1524" spans="1:2" x14ac:dyDescent="0.25">
      <c r="A1524" s="33" t="s">
        <v>3776</v>
      </c>
      <c r="B1524" s="34" t="s">
        <v>3777</v>
      </c>
    </row>
    <row r="1525" spans="1:2" x14ac:dyDescent="0.25">
      <c r="A1525" s="33" t="s">
        <v>3778</v>
      </c>
      <c r="B1525" s="34" t="s">
        <v>3779</v>
      </c>
    </row>
    <row r="1526" spans="1:2" x14ac:dyDescent="0.25">
      <c r="A1526" s="33" t="s">
        <v>3780</v>
      </c>
      <c r="B1526" s="34" t="s">
        <v>3781</v>
      </c>
    </row>
    <row r="1527" spans="1:2" x14ac:dyDescent="0.25">
      <c r="A1527" s="33" t="s">
        <v>3782</v>
      </c>
      <c r="B1527" s="34" t="s">
        <v>3783</v>
      </c>
    </row>
    <row r="1528" spans="1:2" x14ac:dyDescent="0.25">
      <c r="A1528" s="33" t="s">
        <v>3784</v>
      </c>
      <c r="B1528" s="34" t="s">
        <v>3785</v>
      </c>
    </row>
    <row r="1529" spans="1:2" x14ac:dyDescent="0.25">
      <c r="A1529" s="33" t="s">
        <v>3786</v>
      </c>
      <c r="B1529" s="34" t="s">
        <v>3787</v>
      </c>
    </row>
    <row r="1530" spans="1:2" x14ac:dyDescent="0.25">
      <c r="A1530" s="33" t="s">
        <v>3788</v>
      </c>
      <c r="B1530" s="34" t="s">
        <v>3789</v>
      </c>
    </row>
    <row r="1531" spans="1:2" x14ac:dyDescent="0.25">
      <c r="A1531" s="33" t="s">
        <v>3790</v>
      </c>
      <c r="B1531" s="34" t="s">
        <v>3791</v>
      </c>
    </row>
    <row r="1532" spans="1:2" x14ac:dyDescent="0.25">
      <c r="A1532" s="33" t="s">
        <v>3792</v>
      </c>
      <c r="B1532" s="34" t="s">
        <v>3793</v>
      </c>
    </row>
    <row r="1533" spans="1:2" x14ac:dyDescent="0.25">
      <c r="A1533" s="33" t="s">
        <v>3794</v>
      </c>
      <c r="B1533" s="34" t="s">
        <v>3795</v>
      </c>
    </row>
    <row r="1534" spans="1:2" x14ac:dyDescent="0.25">
      <c r="A1534" s="33" t="s">
        <v>3796</v>
      </c>
      <c r="B1534" s="34" t="s">
        <v>3797</v>
      </c>
    </row>
    <row r="1535" spans="1:2" x14ac:dyDescent="0.25">
      <c r="A1535" s="33" t="s">
        <v>3798</v>
      </c>
      <c r="B1535" s="34" t="s">
        <v>3799</v>
      </c>
    </row>
    <row r="1536" spans="1:2" x14ac:dyDescent="0.25">
      <c r="A1536" s="33" t="s">
        <v>3800</v>
      </c>
      <c r="B1536" s="34" t="s">
        <v>3801</v>
      </c>
    </row>
    <row r="1537" spans="1:2" x14ac:dyDescent="0.25">
      <c r="A1537" s="33" t="s">
        <v>3802</v>
      </c>
      <c r="B1537" s="34" t="s">
        <v>3803</v>
      </c>
    </row>
    <row r="1538" spans="1:2" x14ac:dyDescent="0.25">
      <c r="A1538" s="33" t="s">
        <v>3804</v>
      </c>
      <c r="B1538" s="34" t="s">
        <v>3805</v>
      </c>
    </row>
    <row r="1539" spans="1:2" x14ac:dyDescent="0.25">
      <c r="A1539" s="33" t="s">
        <v>3806</v>
      </c>
      <c r="B1539" s="34" t="s">
        <v>3807</v>
      </c>
    </row>
    <row r="1540" spans="1:2" x14ac:dyDescent="0.25">
      <c r="A1540" s="33" t="s">
        <v>3808</v>
      </c>
      <c r="B1540" s="34" t="s">
        <v>3809</v>
      </c>
    </row>
    <row r="1541" spans="1:2" x14ac:dyDescent="0.25">
      <c r="A1541" s="33" t="s">
        <v>540</v>
      </c>
      <c r="B1541" s="34" t="s">
        <v>3810</v>
      </c>
    </row>
    <row r="1542" spans="1:2" x14ac:dyDescent="0.25">
      <c r="A1542" s="33" t="s">
        <v>3811</v>
      </c>
      <c r="B1542" s="34" t="s">
        <v>3812</v>
      </c>
    </row>
    <row r="1543" spans="1:2" x14ac:dyDescent="0.25">
      <c r="A1543" s="33" t="s">
        <v>3813</v>
      </c>
      <c r="B1543" s="34" t="s">
        <v>3814</v>
      </c>
    </row>
    <row r="1544" spans="1:2" x14ac:dyDescent="0.25">
      <c r="A1544" s="33" t="s">
        <v>3815</v>
      </c>
      <c r="B1544" s="34" t="s">
        <v>3816</v>
      </c>
    </row>
    <row r="1545" spans="1:2" x14ac:dyDescent="0.25">
      <c r="A1545" s="33" t="s">
        <v>3817</v>
      </c>
      <c r="B1545" s="34" t="s">
        <v>3818</v>
      </c>
    </row>
    <row r="1546" spans="1:2" x14ac:dyDescent="0.25">
      <c r="A1546" s="33" t="s">
        <v>3819</v>
      </c>
      <c r="B1546" s="34" t="s">
        <v>3820</v>
      </c>
    </row>
    <row r="1547" spans="1:2" x14ac:dyDescent="0.25">
      <c r="A1547" s="33" t="s">
        <v>3821</v>
      </c>
      <c r="B1547" s="34" t="s">
        <v>3822</v>
      </c>
    </row>
    <row r="1548" spans="1:2" x14ac:dyDescent="0.25">
      <c r="A1548" s="33" t="s">
        <v>3823</v>
      </c>
      <c r="B1548" s="34" t="s">
        <v>3824</v>
      </c>
    </row>
    <row r="1549" spans="1:2" x14ac:dyDescent="0.25">
      <c r="A1549" s="33" t="s">
        <v>3825</v>
      </c>
      <c r="B1549" s="34" t="s">
        <v>3826</v>
      </c>
    </row>
    <row r="1550" spans="1:2" x14ac:dyDescent="0.25">
      <c r="A1550" s="33" t="s">
        <v>3827</v>
      </c>
      <c r="B1550" s="34" t="s">
        <v>3828</v>
      </c>
    </row>
    <row r="1551" spans="1:2" x14ac:dyDescent="0.25">
      <c r="A1551" s="33" t="s">
        <v>3829</v>
      </c>
      <c r="B1551" s="34" t="s">
        <v>3830</v>
      </c>
    </row>
    <row r="1552" spans="1:2" x14ac:dyDescent="0.25">
      <c r="A1552" s="33" t="s">
        <v>3831</v>
      </c>
      <c r="B1552" s="34" t="s">
        <v>3832</v>
      </c>
    </row>
    <row r="1553" spans="1:2" x14ac:dyDescent="0.25">
      <c r="A1553" s="33" t="s">
        <v>3833</v>
      </c>
      <c r="B1553" s="34" t="s">
        <v>3834</v>
      </c>
    </row>
    <row r="1554" spans="1:2" x14ac:dyDescent="0.25">
      <c r="A1554" s="33" t="s">
        <v>3835</v>
      </c>
      <c r="B1554" s="34" t="s">
        <v>3836</v>
      </c>
    </row>
    <row r="1555" spans="1:2" x14ac:dyDescent="0.25">
      <c r="A1555" s="33" t="s">
        <v>3837</v>
      </c>
      <c r="B1555" s="34" t="s">
        <v>3838</v>
      </c>
    </row>
    <row r="1556" spans="1:2" x14ac:dyDescent="0.25">
      <c r="A1556" s="33" t="s">
        <v>3839</v>
      </c>
      <c r="B1556" s="34" t="s">
        <v>3840</v>
      </c>
    </row>
    <row r="1557" spans="1:2" x14ac:dyDescent="0.25">
      <c r="A1557" s="33" t="s">
        <v>3841</v>
      </c>
      <c r="B1557" s="34" t="s">
        <v>3842</v>
      </c>
    </row>
    <row r="1558" spans="1:2" x14ac:dyDescent="0.25">
      <c r="A1558" s="33" t="s">
        <v>3843</v>
      </c>
      <c r="B1558" s="34" t="s">
        <v>3844</v>
      </c>
    </row>
    <row r="1559" spans="1:2" x14ac:dyDescent="0.25">
      <c r="A1559" s="33" t="s">
        <v>3845</v>
      </c>
      <c r="B1559" s="34" t="s">
        <v>3846</v>
      </c>
    </row>
    <row r="1560" spans="1:2" x14ac:dyDescent="0.25">
      <c r="A1560" s="33" t="s">
        <v>3847</v>
      </c>
      <c r="B1560" s="34" t="s">
        <v>3848</v>
      </c>
    </row>
    <row r="1561" spans="1:2" x14ac:dyDescent="0.25">
      <c r="A1561" s="33" t="s">
        <v>3849</v>
      </c>
      <c r="B1561" s="34" t="s">
        <v>3850</v>
      </c>
    </row>
    <row r="1562" spans="1:2" x14ac:dyDescent="0.25">
      <c r="A1562" s="33" t="s">
        <v>3851</v>
      </c>
      <c r="B1562" s="34" t="s">
        <v>3852</v>
      </c>
    </row>
    <row r="1563" spans="1:2" x14ac:dyDescent="0.25">
      <c r="A1563" s="33" t="s">
        <v>3853</v>
      </c>
      <c r="B1563" s="34" t="s">
        <v>3854</v>
      </c>
    </row>
    <row r="1564" spans="1:2" x14ac:dyDescent="0.25">
      <c r="A1564" s="33" t="s">
        <v>3855</v>
      </c>
      <c r="B1564" s="34" t="s">
        <v>3856</v>
      </c>
    </row>
    <row r="1565" spans="1:2" x14ac:dyDescent="0.25">
      <c r="A1565" s="33" t="s">
        <v>3857</v>
      </c>
      <c r="B1565" s="34" t="s">
        <v>3858</v>
      </c>
    </row>
    <row r="1566" spans="1:2" x14ac:dyDescent="0.25">
      <c r="A1566" s="33" t="s">
        <v>3859</v>
      </c>
      <c r="B1566" s="34" t="s">
        <v>3860</v>
      </c>
    </row>
    <row r="1567" spans="1:2" x14ac:dyDescent="0.25">
      <c r="A1567" s="33" t="s">
        <v>3861</v>
      </c>
      <c r="B1567" s="34" t="s">
        <v>3862</v>
      </c>
    </row>
    <row r="1568" spans="1:2" x14ac:dyDescent="0.25">
      <c r="A1568" s="33" t="s">
        <v>3863</v>
      </c>
      <c r="B1568" s="34" t="s">
        <v>3864</v>
      </c>
    </row>
    <row r="1569" spans="1:2" x14ac:dyDescent="0.25">
      <c r="A1569" s="33" t="s">
        <v>3865</v>
      </c>
      <c r="B1569" s="34" t="s">
        <v>3866</v>
      </c>
    </row>
    <row r="1570" spans="1:2" x14ac:dyDescent="0.25">
      <c r="A1570" s="33" t="s">
        <v>3867</v>
      </c>
      <c r="B1570" s="34" t="s">
        <v>3868</v>
      </c>
    </row>
    <row r="1571" spans="1:2" x14ac:dyDescent="0.25">
      <c r="A1571" s="33" t="s">
        <v>3869</v>
      </c>
      <c r="B1571" s="34" t="s">
        <v>3870</v>
      </c>
    </row>
    <row r="1572" spans="1:2" x14ac:dyDescent="0.25">
      <c r="A1572" s="33" t="s">
        <v>3871</v>
      </c>
      <c r="B1572" s="34" t="s">
        <v>3872</v>
      </c>
    </row>
    <row r="1573" spans="1:2" x14ac:dyDescent="0.25">
      <c r="A1573" s="33" t="s">
        <v>3873</v>
      </c>
      <c r="B1573" s="34" t="s">
        <v>3874</v>
      </c>
    </row>
    <row r="1574" spans="1:2" x14ac:dyDescent="0.25">
      <c r="A1574" s="33" t="s">
        <v>3875</v>
      </c>
      <c r="B1574" s="34" t="s">
        <v>3876</v>
      </c>
    </row>
    <row r="1575" spans="1:2" x14ac:dyDescent="0.25">
      <c r="A1575" s="33" t="s">
        <v>3877</v>
      </c>
      <c r="B1575" s="34" t="s">
        <v>3878</v>
      </c>
    </row>
    <row r="1576" spans="1:2" x14ac:dyDescent="0.25">
      <c r="A1576" s="33" t="s">
        <v>3879</v>
      </c>
      <c r="B1576" s="34" t="s">
        <v>3880</v>
      </c>
    </row>
    <row r="1577" spans="1:2" x14ac:dyDescent="0.25">
      <c r="A1577" s="33" t="s">
        <v>3881</v>
      </c>
      <c r="B1577" s="34" t="s">
        <v>3882</v>
      </c>
    </row>
    <row r="1578" spans="1:2" x14ac:dyDescent="0.25">
      <c r="A1578" s="33" t="s">
        <v>3883</v>
      </c>
      <c r="B1578" s="34" t="s">
        <v>3884</v>
      </c>
    </row>
    <row r="1579" spans="1:2" x14ac:dyDescent="0.25">
      <c r="A1579" s="33" t="s">
        <v>3885</v>
      </c>
      <c r="B1579" s="34" t="s">
        <v>3886</v>
      </c>
    </row>
    <row r="1580" spans="1:2" x14ac:dyDescent="0.25">
      <c r="A1580" s="33" t="s">
        <v>3887</v>
      </c>
      <c r="B1580" s="34" t="s">
        <v>3888</v>
      </c>
    </row>
    <row r="1581" spans="1:2" x14ac:dyDescent="0.25">
      <c r="A1581" s="33" t="s">
        <v>3889</v>
      </c>
      <c r="B1581" s="34" t="s">
        <v>3890</v>
      </c>
    </row>
    <row r="1582" spans="1:2" x14ac:dyDescent="0.25">
      <c r="A1582" s="33" t="s">
        <v>3891</v>
      </c>
      <c r="B1582" s="34" t="s">
        <v>3892</v>
      </c>
    </row>
    <row r="1583" spans="1:2" x14ac:dyDescent="0.25">
      <c r="A1583" s="33" t="s">
        <v>3893</v>
      </c>
      <c r="B1583" s="34" t="s">
        <v>3894</v>
      </c>
    </row>
    <row r="1584" spans="1:2" x14ac:dyDescent="0.25">
      <c r="A1584" s="33" t="s">
        <v>3895</v>
      </c>
      <c r="B1584" s="34" t="s">
        <v>3896</v>
      </c>
    </row>
    <row r="1585" spans="1:2" x14ac:dyDescent="0.25">
      <c r="A1585" s="33" t="s">
        <v>3897</v>
      </c>
      <c r="B1585" s="34" t="s">
        <v>3898</v>
      </c>
    </row>
    <row r="1586" spans="1:2" x14ac:dyDescent="0.25">
      <c r="A1586" s="33" t="s">
        <v>3899</v>
      </c>
      <c r="B1586" s="34" t="s">
        <v>3900</v>
      </c>
    </row>
    <row r="1587" spans="1:2" x14ac:dyDescent="0.25">
      <c r="A1587" s="33" t="s">
        <v>3901</v>
      </c>
      <c r="B1587" s="34" t="s">
        <v>3902</v>
      </c>
    </row>
    <row r="1588" spans="1:2" x14ac:dyDescent="0.25">
      <c r="A1588" s="33" t="s">
        <v>3903</v>
      </c>
      <c r="B1588" s="34" t="s">
        <v>3904</v>
      </c>
    </row>
    <row r="1589" spans="1:2" x14ac:dyDescent="0.25">
      <c r="A1589" s="33" t="s">
        <v>3905</v>
      </c>
      <c r="B1589" s="34" t="s">
        <v>3906</v>
      </c>
    </row>
    <row r="1590" spans="1:2" x14ac:dyDescent="0.25">
      <c r="A1590" s="33" t="s">
        <v>3907</v>
      </c>
      <c r="B1590" s="34" t="s">
        <v>3908</v>
      </c>
    </row>
    <row r="1591" spans="1:2" x14ac:dyDescent="0.25">
      <c r="A1591" s="33" t="s">
        <v>3909</v>
      </c>
      <c r="B1591" s="34" t="s">
        <v>3910</v>
      </c>
    </row>
    <row r="1592" spans="1:2" x14ac:dyDescent="0.25">
      <c r="A1592" s="33" t="s">
        <v>3911</v>
      </c>
      <c r="B1592" s="34" t="s">
        <v>3912</v>
      </c>
    </row>
    <row r="1593" spans="1:2" x14ac:dyDescent="0.25">
      <c r="A1593" s="33" t="s">
        <v>3913</v>
      </c>
      <c r="B1593" s="34" t="s">
        <v>3914</v>
      </c>
    </row>
    <row r="1594" spans="1:2" x14ac:dyDescent="0.25">
      <c r="A1594" s="33" t="s">
        <v>3915</v>
      </c>
      <c r="B1594" s="34" t="s">
        <v>3916</v>
      </c>
    </row>
    <row r="1595" spans="1:2" x14ac:dyDescent="0.25">
      <c r="A1595" s="33" t="s">
        <v>3917</v>
      </c>
      <c r="B1595" s="34" t="s">
        <v>3918</v>
      </c>
    </row>
    <row r="1596" spans="1:2" x14ac:dyDescent="0.25">
      <c r="A1596" s="33" t="s">
        <v>3919</v>
      </c>
      <c r="B1596" s="34" t="s">
        <v>3920</v>
      </c>
    </row>
    <row r="1597" spans="1:2" x14ac:dyDescent="0.25">
      <c r="A1597" s="33" t="s">
        <v>3921</v>
      </c>
      <c r="B1597" s="34" t="s">
        <v>3922</v>
      </c>
    </row>
    <row r="1598" spans="1:2" x14ac:dyDescent="0.25">
      <c r="A1598" s="29" t="s">
        <v>3923</v>
      </c>
      <c r="B1598" s="30" t="s">
        <v>3924</v>
      </c>
    </row>
    <row r="1599" spans="1:2" x14ac:dyDescent="0.25">
      <c r="A1599" s="29" t="s">
        <v>3925</v>
      </c>
      <c r="B1599" s="30" t="s">
        <v>3926</v>
      </c>
    </row>
    <row r="1600" spans="1:2" x14ac:dyDescent="0.25">
      <c r="A1600" s="29" t="s">
        <v>3927</v>
      </c>
      <c r="B1600" s="30" t="s">
        <v>3928</v>
      </c>
    </row>
    <row r="1601" spans="1:2" x14ac:dyDescent="0.25">
      <c r="A1601" s="29" t="s">
        <v>3929</v>
      </c>
      <c r="B1601" s="30" t="s">
        <v>3930</v>
      </c>
    </row>
    <row r="1602" spans="1:2" x14ac:dyDescent="0.25">
      <c r="A1602" s="29" t="s">
        <v>3931</v>
      </c>
      <c r="B1602" s="30" t="s">
        <v>3932</v>
      </c>
    </row>
    <row r="1603" spans="1:2" x14ac:dyDescent="0.25">
      <c r="A1603" s="29" t="s">
        <v>3933</v>
      </c>
      <c r="B1603" s="30" t="s">
        <v>3934</v>
      </c>
    </row>
    <row r="1604" spans="1:2" x14ac:dyDescent="0.25">
      <c r="A1604" s="29" t="s">
        <v>3935</v>
      </c>
      <c r="B1604" s="30" t="s">
        <v>3936</v>
      </c>
    </row>
    <row r="1605" spans="1:2" x14ac:dyDescent="0.25">
      <c r="A1605" s="29" t="s">
        <v>3937</v>
      </c>
      <c r="B1605" s="30" t="s">
        <v>3938</v>
      </c>
    </row>
    <row r="1606" spans="1:2" x14ac:dyDescent="0.25">
      <c r="A1606" s="29" t="s">
        <v>3939</v>
      </c>
      <c r="B1606" s="30" t="s">
        <v>3940</v>
      </c>
    </row>
    <row r="1607" spans="1:2" x14ac:dyDescent="0.25">
      <c r="A1607" s="29" t="s">
        <v>3941</v>
      </c>
      <c r="B1607" s="30" t="s">
        <v>3942</v>
      </c>
    </row>
    <row r="1608" spans="1:2" x14ac:dyDescent="0.25">
      <c r="A1608" s="29" t="s">
        <v>3943</v>
      </c>
      <c r="B1608" s="30" t="s">
        <v>3944</v>
      </c>
    </row>
    <row r="1609" spans="1:2" x14ac:dyDescent="0.25">
      <c r="A1609" s="29" t="s">
        <v>3945</v>
      </c>
      <c r="B1609" s="30" t="s">
        <v>3946</v>
      </c>
    </row>
    <row r="1610" spans="1:2" x14ac:dyDescent="0.25">
      <c r="A1610" s="29" t="s">
        <v>3947</v>
      </c>
      <c r="B1610" s="30" t="s">
        <v>3948</v>
      </c>
    </row>
    <row r="1611" spans="1:2" x14ac:dyDescent="0.25">
      <c r="A1611" s="29" t="s">
        <v>3949</v>
      </c>
      <c r="B1611" s="30" t="s">
        <v>3950</v>
      </c>
    </row>
    <row r="1612" spans="1:2" x14ac:dyDescent="0.25">
      <c r="A1612" s="29" t="s">
        <v>3951</v>
      </c>
      <c r="B1612" s="30" t="s">
        <v>3952</v>
      </c>
    </row>
    <row r="1613" spans="1:2" x14ac:dyDescent="0.25">
      <c r="A1613" s="29" t="s">
        <v>3953</v>
      </c>
      <c r="B1613" s="30" t="s">
        <v>3954</v>
      </c>
    </row>
    <row r="1614" spans="1:2" x14ac:dyDescent="0.25">
      <c r="A1614" s="29" t="s">
        <v>3955</v>
      </c>
      <c r="B1614" s="30" t="s">
        <v>3956</v>
      </c>
    </row>
    <row r="1615" spans="1:2" x14ac:dyDescent="0.25">
      <c r="A1615" s="29" t="s">
        <v>3957</v>
      </c>
      <c r="B1615" s="30" t="s">
        <v>3958</v>
      </c>
    </row>
    <row r="1616" spans="1:2" x14ac:dyDescent="0.25">
      <c r="A1616" s="29" t="s">
        <v>3959</v>
      </c>
      <c r="B1616" s="30" t="s">
        <v>3960</v>
      </c>
    </row>
    <row r="1617" spans="1:2" x14ac:dyDescent="0.25">
      <c r="A1617" s="29" t="s">
        <v>3961</v>
      </c>
      <c r="B1617" s="30" t="s">
        <v>3962</v>
      </c>
    </row>
    <row r="1618" spans="1:2" x14ac:dyDescent="0.25">
      <c r="A1618" s="29" t="s">
        <v>3963</v>
      </c>
      <c r="B1618" s="30" t="s">
        <v>3964</v>
      </c>
    </row>
    <row r="1619" spans="1:2" x14ac:dyDescent="0.25">
      <c r="A1619" s="29" t="s">
        <v>3965</v>
      </c>
      <c r="B1619" s="30" t="s">
        <v>3966</v>
      </c>
    </row>
    <row r="1620" spans="1:2" x14ac:dyDescent="0.25">
      <c r="A1620" s="29" t="s">
        <v>3967</v>
      </c>
      <c r="B1620" s="30" t="s">
        <v>3968</v>
      </c>
    </row>
    <row r="1621" spans="1:2" x14ac:dyDescent="0.25">
      <c r="A1621" s="29" t="s">
        <v>3969</v>
      </c>
      <c r="B1621" s="30" t="s">
        <v>3970</v>
      </c>
    </row>
    <row r="1622" spans="1:2" x14ac:dyDescent="0.25">
      <c r="A1622" s="29" t="s">
        <v>3971</v>
      </c>
      <c r="B1622" s="30" t="s">
        <v>3972</v>
      </c>
    </row>
    <row r="1623" spans="1:2" x14ac:dyDescent="0.25">
      <c r="A1623" s="29" t="s">
        <v>3973</v>
      </c>
      <c r="B1623" s="30" t="s">
        <v>3974</v>
      </c>
    </row>
    <row r="1624" spans="1:2" x14ac:dyDescent="0.25">
      <c r="A1624" s="29" t="s">
        <v>3975</v>
      </c>
      <c r="B1624" s="30" t="s">
        <v>3976</v>
      </c>
    </row>
    <row r="1625" spans="1:2" x14ac:dyDescent="0.25">
      <c r="A1625" s="29" t="s">
        <v>3977</v>
      </c>
      <c r="B1625" s="30" t="s">
        <v>3978</v>
      </c>
    </row>
    <row r="1626" spans="1:2" x14ac:dyDescent="0.25">
      <c r="A1626" s="29" t="s">
        <v>3979</v>
      </c>
      <c r="B1626" s="30" t="s">
        <v>3980</v>
      </c>
    </row>
    <row r="1627" spans="1:2" x14ac:dyDescent="0.25">
      <c r="A1627" s="29" t="s">
        <v>3981</v>
      </c>
      <c r="B1627" s="30" t="s">
        <v>3982</v>
      </c>
    </row>
    <row r="1628" spans="1:2" x14ac:dyDescent="0.25">
      <c r="A1628" s="29" t="s">
        <v>3983</v>
      </c>
      <c r="B1628" s="30" t="s">
        <v>3984</v>
      </c>
    </row>
    <row r="1629" spans="1:2" x14ac:dyDescent="0.25">
      <c r="A1629" s="29" t="s">
        <v>3985</v>
      </c>
      <c r="B1629" s="30" t="s">
        <v>3986</v>
      </c>
    </row>
    <row r="1630" spans="1:2" x14ac:dyDescent="0.25">
      <c r="A1630" s="29" t="s">
        <v>3987</v>
      </c>
      <c r="B1630" s="30" t="s">
        <v>3988</v>
      </c>
    </row>
    <row r="1631" spans="1:2" x14ac:dyDescent="0.25">
      <c r="A1631" s="29" t="s">
        <v>3989</v>
      </c>
      <c r="B1631" s="30" t="s">
        <v>3990</v>
      </c>
    </row>
    <row r="1632" spans="1:2" x14ac:dyDescent="0.25">
      <c r="A1632" s="29" t="s">
        <v>3991</v>
      </c>
      <c r="B1632" s="30" t="s">
        <v>3992</v>
      </c>
    </row>
    <row r="1633" spans="1:2" x14ac:dyDescent="0.25">
      <c r="A1633" s="29" t="s">
        <v>3993</v>
      </c>
      <c r="B1633" s="30" t="s">
        <v>3994</v>
      </c>
    </row>
    <row r="1634" spans="1:2" x14ac:dyDescent="0.25">
      <c r="A1634" s="29" t="s">
        <v>3995</v>
      </c>
      <c r="B1634" s="30" t="s">
        <v>3996</v>
      </c>
    </row>
    <row r="1635" spans="1:2" x14ac:dyDescent="0.25">
      <c r="A1635" s="29" t="s">
        <v>3997</v>
      </c>
      <c r="B1635" s="30" t="s">
        <v>3998</v>
      </c>
    </row>
    <row r="1636" spans="1:2" x14ac:dyDescent="0.25">
      <c r="A1636" s="29" t="s">
        <v>3999</v>
      </c>
      <c r="B1636" s="30" t="s">
        <v>4000</v>
      </c>
    </row>
    <row r="1637" spans="1:2" x14ac:dyDescent="0.25">
      <c r="A1637" s="29" t="s">
        <v>4001</v>
      </c>
      <c r="B1637" s="30" t="s">
        <v>4002</v>
      </c>
    </row>
    <row r="1638" spans="1:2" x14ac:dyDescent="0.25">
      <c r="A1638" s="29" t="s">
        <v>4003</v>
      </c>
      <c r="B1638" s="30" t="s">
        <v>4004</v>
      </c>
    </row>
    <row r="1639" spans="1:2" x14ac:dyDescent="0.25">
      <c r="A1639" s="29" t="s">
        <v>4005</v>
      </c>
      <c r="B1639" s="30" t="s">
        <v>4006</v>
      </c>
    </row>
    <row r="1640" spans="1:2" x14ac:dyDescent="0.25">
      <c r="A1640" s="29" t="s">
        <v>4007</v>
      </c>
      <c r="B1640" s="30" t="s">
        <v>4008</v>
      </c>
    </row>
    <row r="1641" spans="1:2" x14ac:dyDescent="0.25">
      <c r="A1641" s="29" t="s">
        <v>4009</v>
      </c>
      <c r="B1641" s="30" t="s">
        <v>4010</v>
      </c>
    </row>
    <row r="1642" spans="1:2" x14ac:dyDescent="0.25">
      <c r="A1642" s="29" t="s">
        <v>4011</v>
      </c>
      <c r="B1642" s="30" t="s">
        <v>4012</v>
      </c>
    </row>
    <row r="1643" spans="1:2" x14ac:dyDescent="0.25">
      <c r="A1643" s="29" t="s">
        <v>4013</v>
      </c>
      <c r="B1643" s="30" t="s">
        <v>4014</v>
      </c>
    </row>
    <row r="1644" spans="1:2" x14ac:dyDescent="0.25">
      <c r="A1644" s="29" t="s">
        <v>4015</v>
      </c>
      <c r="B1644" s="30" t="s">
        <v>4016</v>
      </c>
    </row>
    <row r="1645" spans="1:2" x14ac:dyDescent="0.25">
      <c r="A1645" s="29" t="s">
        <v>4017</v>
      </c>
      <c r="B1645" s="30" t="s">
        <v>4018</v>
      </c>
    </row>
    <row r="1646" spans="1:2" x14ac:dyDescent="0.25">
      <c r="A1646" s="29" t="s">
        <v>4019</v>
      </c>
      <c r="B1646" s="30" t="s">
        <v>4020</v>
      </c>
    </row>
    <row r="1647" spans="1:2" x14ac:dyDescent="0.25">
      <c r="A1647" s="29" t="s">
        <v>4021</v>
      </c>
      <c r="B1647" s="30" t="s">
        <v>4022</v>
      </c>
    </row>
    <row r="1648" spans="1:2" x14ac:dyDescent="0.25">
      <c r="A1648" s="29" t="s">
        <v>4023</v>
      </c>
      <c r="B1648" s="30" t="s">
        <v>4024</v>
      </c>
    </row>
    <row r="1649" spans="1:2" x14ac:dyDescent="0.25">
      <c r="A1649" s="29" t="s">
        <v>4025</v>
      </c>
      <c r="B1649" s="30" t="s">
        <v>4026</v>
      </c>
    </row>
    <row r="1650" spans="1:2" x14ac:dyDescent="0.25">
      <c r="A1650" s="29" t="s">
        <v>4027</v>
      </c>
      <c r="B1650" s="30" t="s">
        <v>4028</v>
      </c>
    </row>
    <row r="1651" spans="1:2" x14ac:dyDescent="0.25">
      <c r="A1651" s="29" t="s">
        <v>4029</v>
      </c>
      <c r="B1651" s="30" t="s">
        <v>4030</v>
      </c>
    </row>
    <row r="1652" spans="1:2" x14ac:dyDescent="0.25">
      <c r="A1652" s="29" t="s">
        <v>4031</v>
      </c>
      <c r="B1652" s="30" t="s">
        <v>4032</v>
      </c>
    </row>
    <row r="1653" spans="1:2" x14ac:dyDescent="0.25">
      <c r="A1653" s="29" t="s">
        <v>4033</v>
      </c>
      <c r="B1653" s="30" t="s">
        <v>4034</v>
      </c>
    </row>
    <row r="1654" spans="1:2" x14ac:dyDescent="0.25">
      <c r="A1654" s="29" t="s">
        <v>4035</v>
      </c>
      <c r="B1654" s="30" t="s">
        <v>4036</v>
      </c>
    </row>
    <row r="1655" spans="1:2" x14ac:dyDescent="0.25">
      <c r="A1655" s="29" t="s">
        <v>4037</v>
      </c>
      <c r="B1655" s="30" t="s">
        <v>4038</v>
      </c>
    </row>
    <row r="1656" spans="1:2" x14ac:dyDescent="0.25">
      <c r="A1656" s="29" t="s">
        <v>4039</v>
      </c>
      <c r="B1656" s="30" t="s">
        <v>4040</v>
      </c>
    </row>
    <row r="1657" spans="1:2" x14ac:dyDescent="0.25">
      <c r="A1657" s="29" t="s">
        <v>4041</v>
      </c>
      <c r="B1657" s="30" t="s">
        <v>4042</v>
      </c>
    </row>
    <row r="1658" spans="1:2" x14ac:dyDescent="0.25">
      <c r="A1658" s="29" t="s">
        <v>4043</v>
      </c>
      <c r="B1658" s="30" t="s">
        <v>4044</v>
      </c>
    </row>
    <row r="1659" spans="1:2" x14ac:dyDescent="0.25">
      <c r="A1659" s="29" t="s">
        <v>4045</v>
      </c>
      <c r="B1659" s="30" t="s">
        <v>4046</v>
      </c>
    </row>
    <row r="1660" spans="1:2" x14ac:dyDescent="0.25">
      <c r="A1660" s="29" t="s">
        <v>4047</v>
      </c>
      <c r="B1660" s="30" t="s">
        <v>4048</v>
      </c>
    </row>
    <row r="1661" spans="1:2" x14ac:dyDescent="0.25">
      <c r="A1661" s="29" t="s">
        <v>4049</v>
      </c>
      <c r="B1661" s="30" t="s">
        <v>4050</v>
      </c>
    </row>
    <row r="1662" spans="1:2" x14ac:dyDescent="0.25">
      <c r="A1662" s="29" t="s">
        <v>4051</v>
      </c>
      <c r="B1662" s="30" t="s">
        <v>4052</v>
      </c>
    </row>
    <row r="1663" spans="1:2" x14ac:dyDescent="0.25">
      <c r="A1663" s="29" t="s">
        <v>4053</v>
      </c>
      <c r="B1663" s="30" t="s">
        <v>4054</v>
      </c>
    </row>
    <row r="1664" spans="1:2" x14ac:dyDescent="0.25">
      <c r="A1664" s="29" t="s">
        <v>4055</v>
      </c>
      <c r="B1664" s="30" t="s">
        <v>4056</v>
      </c>
    </row>
    <row r="1665" spans="1:2" x14ac:dyDescent="0.25">
      <c r="A1665" s="29" t="s">
        <v>4057</v>
      </c>
      <c r="B1665" s="30" t="s">
        <v>4058</v>
      </c>
    </row>
    <row r="1666" spans="1:2" x14ac:dyDescent="0.25">
      <c r="A1666" s="29" t="s">
        <v>4059</v>
      </c>
      <c r="B1666" s="30" t="s">
        <v>4060</v>
      </c>
    </row>
    <row r="1667" spans="1:2" x14ac:dyDescent="0.25">
      <c r="A1667" s="29" t="s">
        <v>4061</v>
      </c>
      <c r="B1667" s="30" t="s">
        <v>4062</v>
      </c>
    </row>
    <row r="1668" spans="1:2" x14ac:dyDescent="0.25">
      <c r="A1668" s="29" t="s">
        <v>4063</v>
      </c>
      <c r="B1668" s="30" t="s">
        <v>4064</v>
      </c>
    </row>
    <row r="1669" spans="1:2" x14ac:dyDescent="0.25">
      <c r="A1669" s="29" t="s">
        <v>4065</v>
      </c>
      <c r="B1669" s="30" t="s">
        <v>4066</v>
      </c>
    </row>
    <row r="1670" spans="1:2" x14ac:dyDescent="0.25">
      <c r="A1670" s="29" t="s">
        <v>4067</v>
      </c>
      <c r="B1670" s="30" t="s">
        <v>4068</v>
      </c>
    </row>
    <row r="1671" spans="1:2" x14ac:dyDescent="0.25">
      <c r="A1671" s="29" t="s">
        <v>4069</v>
      </c>
      <c r="B1671" s="30" t="s">
        <v>4070</v>
      </c>
    </row>
    <row r="1672" spans="1:2" x14ac:dyDescent="0.25">
      <c r="A1672" s="29" t="s">
        <v>4071</v>
      </c>
      <c r="B1672" s="30" t="s">
        <v>4072</v>
      </c>
    </row>
    <row r="1673" spans="1:2" x14ac:dyDescent="0.25">
      <c r="A1673" s="29" t="s">
        <v>4073</v>
      </c>
      <c r="B1673" s="30" t="s">
        <v>4074</v>
      </c>
    </row>
    <row r="1674" spans="1:2" x14ac:dyDescent="0.25">
      <c r="A1674" s="29" t="s">
        <v>4075</v>
      </c>
      <c r="B1674" s="30" t="s">
        <v>4076</v>
      </c>
    </row>
    <row r="1675" spans="1:2" x14ac:dyDescent="0.25">
      <c r="A1675" s="29" t="s">
        <v>4077</v>
      </c>
      <c r="B1675" s="30" t="s">
        <v>4078</v>
      </c>
    </row>
    <row r="1676" spans="1:2" x14ac:dyDescent="0.25">
      <c r="A1676" s="29" t="s">
        <v>4079</v>
      </c>
      <c r="B1676" s="30" t="s">
        <v>4080</v>
      </c>
    </row>
    <row r="1677" spans="1:2" x14ac:dyDescent="0.25">
      <c r="A1677" s="29" t="s">
        <v>4081</v>
      </c>
      <c r="B1677" s="30" t="s">
        <v>4082</v>
      </c>
    </row>
    <row r="1678" spans="1:2" x14ac:dyDescent="0.25">
      <c r="A1678" s="29" t="s">
        <v>4083</v>
      </c>
      <c r="B1678" s="30" t="s">
        <v>4084</v>
      </c>
    </row>
    <row r="1679" spans="1:2" x14ac:dyDescent="0.25">
      <c r="A1679" s="29" t="s">
        <v>4085</v>
      </c>
      <c r="B1679" s="30" t="s">
        <v>4086</v>
      </c>
    </row>
    <row r="1680" spans="1:2" x14ac:dyDescent="0.25">
      <c r="A1680" s="29" t="s">
        <v>4087</v>
      </c>
      <c r="B1680" s="30" t="s">
        <v>4088</v>
      </c>
    </row>
    <row r="1681" spans="1:2" x14ac:dyDescent="0.25">
      <c r="A1681" s="29" t="s">
        <v>4089</v>
      </c>
      <c r="B1681" s="30" t="s">
        <v>4090</v>
      </c>
    </row>
    <row r="1682" spans="1:2" x14ac:dyDescent="0.25">
      <c r="A1682" s="29" t="s">
        <v>4091</v>
      </c>
      <c r="B1682" s="30" t="s">
        <v>4092</v>
      </c>
    </row>
    <row r="1683" spans="1:2" x14ac:dyDescent="0.25">
      <c r="A1683" s="29" t="s">
        <v>4093</v>
      </c>
      <c r="B1683" s="30" t="s">
        <v>4094</v>
      </c>
    </row>
    <row r="1684" spans="1:2" x14ac:dyDescent="0.25">
      <c r="A1684" s="29" t="s">
        <v>4095</v>
      </c>
      <c r="B1684" s="30" t="s">
        <v>4096</v>
      </c>
    </row>
    <row r="1685" spans="1:2" x14ac:dyDescent="0.25">
      <c r="A1685" s="29" t="s">
        <v>4097</v>
      </c>
      <c r="B1685" s="30" t="s">
        <v>4098</v>
      </c>
    </row>
    <row r="1686" spans="1:2" x14ac:dyDescent="0.25">
      <c r="A1686" s="29" t="s">
        <v>4099</v>
      </c>
      <c r="B1686" s="30" t="s">
        <v>4100</v>
      </c>
    </row>
    <row r="1687" spans="1:2" x14ac:dyDescent="0.25">
      <c r="A1687" s="29" t="s">
        <v>4101</v>
      </c>
      <c r="B1687" s="30" t="s">
        <v>4102</v>
      </c>
    </row>
    <row r="1688" spans="1:2" x14ac:dyDescent="0.25">
      <c r="A1688" s="29" t="s">
        <v>4103</v>
      </c>
      <c r="B1688" s="30" t="s">
        <v>4104</v>
      </c>
    </row>
    <row r="1689" spans="1:2" x14ac:dyDescent="0.25">
      <c r="A1689" s="29" t="s">
        <v>4105</v>
      </c>
      <c r="B1689" s="30" t="s">
        <v>4106</v>
      </c>
    </row>
    <row r="1690" spans="1:2" x14ac:dyDescent="0.25">
      <c r="A1690" s="29" t="s">
        <v>4107</v>
      </c>
      <c r="B1690" s="30" t="s">
        <v>4108</v>
      </c>
    </row>
    <row r="1691" spans="1:2" x14ac:dyDescent="0.25">
      <c r="A1691" s="29" t="s">
        <v>4109</v>
      </c>
      <c r="B1691" s="30" t="s">
        <v>4110</v>
      </c>
    </row>
    <row r="1692" spans="1:2" x14ac:dyDescent="0.25">
      <c r="A1692" s="29" t="s">
        <v>4111</v>
      </c>
      <c r="B1692" s="30" t="s">
        <v>4112</v>
      </c>
    </row>
    <row r="1693" spans="1:2" x14ac:dyDescent="0.25">
      <c r="A1693" s="29" t="s">
        <v>4113</v>
      </c>
      <c r="B1693" s="30" t="s">
        <v>4114</v>
      </c>
    </row>
    <row r="1694" spans="1:2" x14ac:dyDescent="0.25">
      <c r="A1694" s="29" t="s">
        <v>4115</v>
      </c>
      <c r="B1694" s="30" t="s">
        <v>4116</v>
      </c>
    </row>
    <row r="1695" spans="1:2" x14ac:dyDescent="0.25">
      <c r="A1695" s="29" t="s">
        <v>4117</v>
      </c>
      <c r="B1695" s="30" t="s">
        <v>4118</v>
      </c>
    </row>
    <row r="1696" spans="1:2" x14ac:dyDescent="0.25">
      <c r="A1696" s="29" t="s">
        <v>4119</v>
      </c>
      <c r="B1696" s="30" t="s">
        <v>4120</v>
      </c>
    </row>
    <row r="1697" spans="1:2" x14ac:dyDescent="0.25">
      <c r="A1697" s="29" t="s">
        <v>4121</v>
      </c>
      <c r="B1697" s="30" t="s">
        <v>4122</v>
      </c>
    </row>
    <row r="1698" spans="1:2" x14ac:dyDescent="0.25">
      <c r="A1698" s="29" t="s">
        <v>4123</v>
      </c>
      <c r="B1698" s="30" t="s">
        <v>4124</v>
      </c>
    </row>
    <row r="1699" spans="1:2" x14ac:dyDescent="0.25">
      <c r="A1699" s="29" t="s">
        <v>4125</v>
      </c>
      <c r="B1699" s="30" t="s">
        <v>4126</v>
      </c>
    </row>
    <row r="1700" spans="1:2" x14ac:dyDescent="0.25">
      <c r="A1700" s="29" t="s">
        <v>4127</v>
      </c>
      <c r="B1700" s="30" t="s">
        <v>4128</v>
      </c>
    </row>
    <row r="1701" spans="1:2" x14ac:dyDescent="0.25">
      <c r="A1701" s="29" t="s">
        <v>4129</v>
      </c>
      <c r="B1701" s="30" t="s">
        <v>4130</v>
      </c>
    </row>
    <row r="1702" spans="1:2" x14ac:dyDescent="0.25">
      <c r="A1702" s="29" t="s">
        <v>4131</v>
      </c>
      <c r="B1702" s="30" t="s">
        <v>4132</v>
      </c>
    </row>
    <row r="1703" spans="1:2" x14ac:dyDescent="0.25">
      <c r="A1703" s="29" t="s">
        <v>4133</v>
      </c>
      <c r="B1703" s="30" t="s">
        <v>4134</v>
      </c>
    </row>
    <row r="1704" spans="1:2" x14ac:dyDescent="0.25">
      <c r="A1704" s="29" t="s">
        <v>4135</v>
      </c>
      <c r="B1704" s="30" t="s">
        <v>4136</v>
      </c>
    </row>
    <row r="1705" spans="1:2" x14ac:dyDescent="0.25">
      <c r="A1705" s="29" t="s">
        <v>4137</v>
      </c>
      <c r="B1705" s="30" t="s">
        <v>4138</v>
      </c>
    </row>
    <row r="1706" spans="1:2" x14ac:dyDescent="0.25">
      <c r="A1706" s="29" t="s">
        <v>4139</v>
      </c>
      <c r="B1706" s="30" t="s">
        <v>4140</v>
      </c>
    </row>
    <row r="1707" spans="1:2" x14ac:dyDescent="0.25">
      <c r="A1707" s="29" t="s">
        <v>4141</v>
      </c>
      <c r="B1707" s="30" t="s">
        <v>4142</v>
      </c>
    </row>
    <row r="1708" spans="1:2" x14ac:dyDescent="0.25">
      <c r="A1708" s="29" t="s">
        <v>4143</v>
      </c>
      <c r="B1708" s="30" t="s">
        <v>4144</v>
      </c>
    </row>
    <row r="1709" spans="1:2" x14ac:dyDescent="0.25">
      <c r="A1709" s="29" t="s">
        <v>4145</v>
      </c>
      <c r="B1709" s="30" t="s">
        <v>4146</v>
      </c>
    </row>
    <row r="1710" spans="1:2" x14ac:dyDescent="0.25">
      <c r="A1710" s="29" t="s">
        <v>4147</v>
      </c>
      <c r="B1710" s="30" t="s">
        <v>4148</v>
      </c>
    </row>
    <row r="1711" spans="1:2" x14ac:dyDescent="0.25">
      <c r="A1711" s="29" t="s">
        <v>4149</v>
      </c>
      <c r="B1711" s="30" t="s">
        <v>4150</v>
      </c>
    </row>
    <row r="1712" spans="1:2" x14ac:dyDescent="0.25">
      <c r="A1712" s="29" t="s">
        <v>4151</v>
      </c>
      <c r="B1712" s="30" t="s">
        <v>4152</v>
      </c>
    </row>
    <row r="1713" spans="1:2" x14ac:dyDescent="0.25">
      <c r="A1713" s="29" t="s">
        <v>4153</v>
      </c>
      <c r="B1713" s="30" t="s">
        <v>4154</v>
      </c>
    </row>
    <row r="1714" spans="1:2" x14ac:dyDescent="0.25">
      <c r="A1714" s="29" t="s">
        <v>4155</v>
      </c>
      <c r="B1714" s="30" t="s">
        <v>4156</v>
      </c>
    </row>
    <row r="1715" spans="1:2" x14ac:dyDescent="0.25">
      <c r="A1715" s="29" t="s">
        <v>154</v>
      </c>
      <c r="B1715" s="30" t="s">
        <v>4157</v>
      </c>
    </row>
    <row r="1716" spans="1:2" x14ac:dyDescent="0.25">
      <c r="A1716" s="29" t="s">
        <v>4158</v>
      </c>
      <c r="B1716" s="30" t="s">
        <v>4159</v>
      </c>
    </row>
    <row r="1717" spans="1:2" x14ac:dyDescent="0.25">
      <c r="A1717" s="29" t="s">
        <v>4160</v>
      </c>
      <c r="B1717" s="30" t="s">
        <v>4161</v>
      </c>
    </row>
    <row r="1718" spans="1:2" x14ac:dyDescent="0.25">
      <c r="A1718" s="29" t="s">
        <v>4162</v>
      </c>
      <c r="B1718" s="30" t="s">
        <v>4163</v>
      </c>
    </row>
    <row r="1719" spans="1:2" x14ac:dyDescent="0.25">
      <c r="A1719" s="29" t="s">
        <v>4164</v>
      </c>
      <c r="B1719" s="30" t="s">
        <v>4165</v>
      </c>
    </row>
    <row r="1720" spans="1:2" x14ac:dyDescent="0.25">
      <c r="A1720" s="29" t="s">
        <v>4166</v>
      </c>
      <c r="B1720" s="30" t="s">
        <v>4167</v>
      </c>
    </row>
    <row r="1721" spans="1:2" x14ac:dyDescent="0.25">
      <c r="A1721" s="29" t="s">
        <v>4168</v>
      </c>
      <c r="B1721" s="30" t="s">
        <v>4169</v>
      </c>
    </row>
    <row r="1722" spans="1:2" x14ac:dyDescent="0.25">
      <c r="A1722" s="29" t="s">
        <v>4170</v>
      </c>
      <c r="B1722" s="30" t="s">
        <v>4171</v>
      </c>
    </row>
    <row r="1723" spans="1:2" x14ac:dyDescent="0.25">
      <c r="A1723" s="29" t="s">
        <v>4172</v>
      </c>
      <c r="B1723" s="30" t="s">
        <v>4173</v>
      </c>
    </row>
    <row r="1724" spans="1:2" x14ac:dyDescent="0.25">
      <c r="A1724" s="29" t="s">
        <v>4174</v>
      </c>
      <c r="B1724" s="30" t="s">
        <v>4175</v>
      </c>
    </row>
    <row r="1725" spans="1:2" x14ac:dyDescent="0.25">
      <c r="A1725" s="29" t="s">
        <v>4176</v>
      </c>
      <c r="B1725" s="30" t="s">
        <v>4177</v>
      </c>
    </row>
    <row r="1726" spans="1:2" x14ac:dyDescent="0.25">
      <c r="A1726" s="29" t="s">
        <v>4178</v>
      </c>
      <c r="B1726" s="30" t="s">
        <v>4179</v>
      </c>
    </row>
    <row r="1727" spans="1:2" x14ac:dyDescent="0.25">
      <c r="A1727" s="29" t="s">
        <v>4180</v>
      </c>
      <c r="B1727" s="30" t="s">
        <v>4181</v>
      </c>
    </row>
    <row r="1728" spans="1:2" x14ac:dyDescent="0.25">
      <c r="A1728" s="29" t="s">
        <v>4182</v>
      </c>
      <c r="B1728" s="30" t="s">
        <v>4183</v>
      </c>
    </row>
    <row r="1729" spans="1:2" x14ac:dyDescent="0.25">
      <c r="A1729" s="29" t="s">
        <v>4184</v>
      </c>
      <c r="B1729" s="30" t="s">
        <v>4185</v>
      </c>
    </row>
    <row r="1730" spans="1:2" x14ac:dyDescent="0.25">
      <c r="A1730" s="29" t="s">
        <v>4186</v>
      </c>
      <c r="B1730" s="30" t="s">
        <v>4187</v>
      </c>
    </row>
    <row r="1731" spans="1:2" x14ac:dyDescent="0.25">
      <c r="A1731" s="29" t="s">
        <v>4188</v>
      </c>
      <c r="B1731" s="30" t="s">
        <v>4189</v>
      </c>
    </row>
    <row r="1732" spans="1:2" x14ac:dyDescent="0.25">
      <c r="A1732" s="29" t="s">
        <v>4190</v>
      </c>
      <c r="B1732" s="30" t="s">
        <v>4191</v>
      </c>
    </row>
    <row r="1733" spans="1:2" x14ac:dyDescent="0.25">
      <c r="A1733" s="29" t="s">
        <v>4192</v>
      </c>
      <c r="B1733" s="30" t="s">
        <v>4193</v>
      </c>
    </row>
    <row r="1734" spans="1:2" x14ac:dyDescent="0.25">
      <c r="A1734" s="29" t="s">
        <v>4194</v>
      </c>
      <c r="B1734" s="30" t="s">
        <v>4195</v>
      </c>
    </row>
    <row r="1735" spans="1:2" x14ac:dyDescent="0.25">
      <c r="A1735" s="29" t="s">
        <v>4196</v>
      </c>
      <c r="B1735" s="30" t="s">
        <v>4197</v>
      </c>
    </row>
    <row r="1736" spans="1:2" x14ac:dyDescent="0.25">
      <c r="A1736" s="29" t="s">
        <v>4198</v>
      </c>
      <c r="B1736" s="30" t="s">
        <v>4199</v>
      </c>
    </row>
    <row r="1737" spans="1:2" x14ac:dyDescent="0.25">
      <c r="A1737" s="29" t="s">
        <v>4200</v>
      </c>
      <c r="B1737" s="30" t="s">
        <v>4201</v>
      </c>
    </row>
    <row r="1738" spans="1:2" x14ac:dyDescent="0.25">
      <c r="A1738" s="29" t="s">
        <v>4202</v>
      </c>
      <c r="B1738" s="30" t="s">
        <v>4203</v>
      </c>
    </row>
    <row r="1739" spans="1:2" x14ac:dyDescent="0.25">
      <c r="A1739" s="29" t="s">
        <v>4204</v>
      </c>
      <c r="B1739" s="30" t="s">
        <v>4205</v>
      </c>
    </row>
    <row r="1740" spans="1:2" x14ac:dyDescent="0.25">
      <c r="A1740" s="29" t="s">
        <v>4206</v>
      </c>
      <c r="B1740" s="30" t="s">
        <v>4207</v>
      </c>
    </row>
    <row r="1741" spans="1:2" x14ac:dyDescent="0.25">
      <c r="A1741" s="29" t="s">
        <v>4208</v>
      </c>
      <c r="B1741" s="30" t="s">
        <v>4209</v>
      </c>
    </row>
    <row r="1742" spans="1:2" x14ac:dyDescent="0.25">
      <c r="A1742" s="29" t="s">
        <v>4210</v>
      </c>
      <c r="B1742" s="30" t="s">
        <v>4211</v>
      </c>
    </row>
    <row r="1743" spans="1:2" x14ac:dyDescent="0.25">
      <c r="A1743" s="29" t="s">
        <v>4212</v>
      </c>
      <c r="B1743" s="30" t="s">
        <v>4213</v>
      </c>
    </row>
    <row r="1744" spans="1:2" x14ac:dyDescent="0.25">
      <c r="A1744" s="29" t="s">
        <v>4214</v>
      </c>
      <c r="B1744" s="30" t="s">
        <v>4215</v>
      </c>
    </row>
    <row r="1745" spans="1:2" x14ac:dyDescent="0.25">
      <c r="A1745" s="29" t="s">
        <v>4216</v>
      </c>
      <c r="B1745" s="30" t="s">
        <v>4217</v>
      </c>
    </row>
    <row r="1746" spans="1:2" x14ac:dyDescent="0.25">
      <c r="A1746" s="29" t="s">
        <v>4218</v>
      </c>
      <c r="B1746" s="30" t="s">
        <v>4219</v>
      </c>
    </row>
    <row r="1747" spans="1:2" x14ac:dyDescent="0.25">
      <c r="A1747" s="29" t="s">
        <v>4220</v>
      </c>
      <c r="B1747" s="30" t="s">
        <v>4221</v>
      </c>
    </row>
    <row r="1748" spans="1:2" x14ac:dyDescent="0.25">
      <c r="A1748" s="29" t="s">
        <v>4222</v>
      </c>
      <c r="B1748" s="30" t="s">
        <v>4223</v>
      </c>
    </row>
    <row r="1749" spans="1:2" x14ac:dyDescent="0.25">
      <c r="A1749" s="29" t="s">
        <v>4224</v>
      </c>
      <c r="B1749" s="30" t="s">
        <v>4225</v>
      </c>
    </row>
    <row r="1750" spans="1:2" x14ac:dyDescent="0.25">
      <c r="A1750" s="29" t="s">
        <v>4226</v>
      </c>
      <c r="B1750" s="30" t="s">
        <v>4227</v>
      </c>
    </row>
    <row r="1751" spans="1:2" x14ac:dyDescent="0.25">
      <c r="A1751" s="29" t="s">
        <v>4228</v>
      </c>
      <c r="B1751" s="30" t="s">
        <v>4229</v>
      </c>
    </row>
    <row r="1752" spans="1:2" x14ac:dyDescent="0.25">
      <c r="A1752" s="29" t="s">
        <v>191</v>
      </c>
      <c r="B1752" s="30" t="s">
        <v>4230</v>
      </c>
    </row>
    <row r="1753" spans="1:2" x14ac:dyDescent="0.25">
      <c r="A1753" s="29" t="s">
        <v>4231</v>
      </c>
      <c r="B1753" s="30" t="s">
        <v>4232</v>
      </c>
    </row>
    <row r="1754" spans="1:2" x14ac:dyDescent="0.25">
      <c r="A1754" s="29" t="s">
        <v>4233</v>
      </c>
      <c r="B1754" s="30" t="s">
        <v>4234</v>
      </c>
    </row>
    <row r="1755" spans="1:2" x14ac:dyDescent="0.25">
      <c r="A1755" s="29" t="s">
        <v>4235</v>
      </c>
      <c r="B1755" s="30" t="s">
        <v>4236</v>
      </c>
    </row>
    <row r="1756" spans="1:2" x14ac:dyDescent="0.25">
      <c r="A1756" s="29" t="s">
        <v>4237</v>
      </c>
      <c r="B1756" s="30" t="s">
        <v>4238</v>
      </c>
    </row>
    <row r="1757" spans="1:2" x14ac:dyDescent="0.25">
      <c r="A1757" s="29" t="s">
        <v>4239</v>
      </c>
      <c r="B1757" s="30" t="s">
        <v>4240</v>
      </c>
    </row>
    <row r="1758" spans="1:2" x14ac:dyDescent="0.25">
      <c r="A1758" s="29" t="s">
        <v>4241</v>
      </c>
      <c r="B1758" s="30" t="s">
        <v>4242</v>
      </c>
    </row>
    <row r="1759" spans="1:2" x14ac:dyDescent="0.25">
      <c r="A1759" s="29" t="s">
        <v>4243</v>
      </c>
      <c r="B1759" s="30" t="s">
        <v>4244</v>
      </c>
    </row>
    <row r="1760" spans="1:2" x14ac:dyDescent="0.25">
      <c r="A1760" s="29" t="s">
        <v>4245</v>
      </c>
      <c r="B1760" s="30" t="s">
        <v>4246</v>
      </c>
    </row>
    <row r="1761" spans="1:2" x14ac:dyDescent="0.25">
      <c r="A1761" s="29" t="s">
        <v>4247</v>
      </c>
      <c r="B1761" s="30" t="s">
        <v>4248</v>
      </c>
    </row>
    <row r="1762" spans="1:2" x14ac:dyDescent="0.25">
      <c r="A1762" s="29" t="s">
        <v>4249</v>
      </c>
      <c r="B1762" s="30" t="s">
        <v>4250</v>
      </c>
    </row>
    <row r="1763" spans="1:2" x14ac:dyDescent="0.25">
      <c r="A1763" s="29" t="s">
        <v>4251</v>
      </c>
      <c r="B1763" s="30" t="s">
        <v>4252</v>
      </c>
    </row>
    <row r="1764" spans="1:2" x14ac:dyDescent="0.25">
      <c r="A1764" s="29" t="s">
        <v>4253</v>
      </c>
      <c r="B1764" s="30" t="s">
        <v>4254</v>
      </c>
    </row>
    <row r="1765" spans="1:2" x14ac:dyDescent="0.25">
      <c r="A1765" s="29" t="s">
        <v>4255</v>
      </c>
      <c r="B1765" s="30" t="s">
        <v>4256</v>
      </c>
    </row>
    <row r="1766" spans="1:2" x14ac:dyDescent="0.25">
      <c r="A1766" s="29" t="s">
        <v>4257</v>
      </c>
      <c r="B1766" s="30" t="s">
        <v>4258</v>
      </c>
    </row>
    <row r="1767" spans="1:2" x14ac:dyDescent="0.25">
      <c r="A1767" s="29" t="s">
        <v>4259</v>
      </c>
      <c r="B1767" s="30" t="s">
        <v>4260</v>
      </c>
    </row>
    <row r="1768" spans="1:2" x14ac:dyDescent="0.25">
      <c r="A1768" s="29" t="s">
        <v>4261</v>
      </c>
      <c r="B1768" s="30" t="s">
        <v>4262</v>
      </c>
    </row>
    <row r="1769" spans="1:2" x14ac:dyDescent="0.25">
      <c r="A1769" s="29" t="s">
        <v>4263</v>
      </c>
      <c r="B1769" s="30" t="s">
        <v>4264</v>
      </c>
    </row>
    <row r="1770" spans="1:2" x14ac:dyDescent="0.25">
      <c r="A1770" s="29" t="s">
        <v>4265</v>
      </c>
      <c r="B1770" s="30" t="s">
        <v>4266</v>
      </c>
    </row>
    <row r="1771" spans="1:2" x14ac:dyDescent="0.25">
      <c r="A1771" s="29" t="s">
        <v>4267</v>
      </c>
      <c r="B1771" s="30" t="s">
        <v>4268</v>
      </c>
    </row>
    <row r="1772" spans="1:2" x14ac:dyDescent="0.25">
      <c r="A1772" s="29" t="s">
        <v>4269</v>
      </c>
      <c r="B1772" s="30" t="s">
        <v>4270</v>
      </c>
    </row>
    <row r="1773" spans="1:2" x14ac:dyDescent="0.25">
      <c r="A1773" s="29" t="s">
        <v>4271</v>
      </c>
      <c r="B1773" s="30" t="s">
        <v>4272</v>
      </c>
    </row>
    <row r="1774" spans="1:2" x14ac:dyDescent="0.25">
      <c r="A1774" s="29" t="s">
        <v>4273</v>
      </c>
      <c r="B1774" s="30" t="s">
        <v>4274</v>
      </c>
    </row>
    <row r="1775" spans="1:2" x14ac:dyDescent="0.25">
      <c r="A1775" s="29" t="s">
        <v>4275</v>
      </c>
      <c r="B1775" s="30" t="s">
        <v>4276</v>
      </c>
    </row>
    <row r="1776" spans="1:2" x14ac:dyDescent="0.25">
      <c r="A1776" s="29" t="s">
        <v>4277</v>
      </c>
      <c r="B1776" s="30" t="s">
        <v>4278</v>
      </c>
    </row>
    <row r="1777" spans="1:2" x14ac:dyDescent="0.25">
      <c r="A1777" s="29" t="s">
        <v>4279</v>
      </c>
      <c r="B1777" s="30" t="s">
        <v>4280</v>
      </c>
    </row>
    <row r="1778" spans="1:2" x14ac:dyDescent="0.25">
      <c r="A1778" s="29" t="s">
        <v>4281</v>
      </c>
      <c r="B1778" s="30" t="s">
        <v>4282</v>
      </c>
    </row>
    <row r="1779" spans="1:2" x14ac:dyDescent="0.25">
      <c r="A1779" s="29" t="s">
        <v>4283</v>
      </c>
      <c r="B1779" s="30" t="s">
        <v>4284</v>
      </c>
    </row>
    <row r="1780" spans="1:2" x14ac:dyDescent="0.25">
      <c r="A1780" s="29" t="s">
        <v>4285</v>
      </c>
      <c r="B1780" s="30" t="s">
        <v>4286</v>
      </c>
    </row>
    <row r="1781" spans="1:2" x14ac:dyDescent="0.25">
      <c r="A1781" s="29" t="s">
        <v>464</v>
      </c>
      <c r="B1781" s="30" t="s">
        <v>4287</v>
      </c>
    </row>
    <row r="1782" spans="1:2" x14ac:dyDescent="0.25">
      <c r="A1782" s="29" t="s">
        <v>4288</v>
      </c>
      <c r="B1782" s="30" t="s">
        <v>4289</v>
      </c>
    </row>
    <row r="1783" spans="1:2" x14ac:dyDescent="0.25">
      <c r="A1783" s="29" t="s">
        <v>4290</v>
      </c>
      <c r="B1783" s="30" t="s">
        <v>4291</v>
      </c>
    </row>
    <row r="1784" spans="1:2" x14ac:dyDescent="0.25">
      <c r="A1784" s="29" t="s">
        <v>4292</v>
      </c>
      <c r="B1784" s="30" t="s">
        <v>4293</v>
      </c>
    </row>
    <row r="1785" spans="1:2" x14ac:dyDescent="0.25">
      <c r="A1785" s="29" t="s">
        <v>4294</v>
      </c>
      <c r="B1785" s="30" t="s">
        <v>4295</v>
      </c>
    </row>
    <row r="1786" spans="1:2" x14ac:dyDescent="0.25">
      <c r="A1786" s="29" t="s">
        <v>4296</v>
      </c>
      <c r="B1786" s="30" t="s">
        <v>4297</v>
      </c>
    </row>
    <row r="1787" spans="1:2" x14ac:dyDescent="0.25">
      <c r="A1787" s="29" t="s">
        <v>4298</v>
      </c>
      <c r="B1787" s="30" t="s">
        <v>4299</v>
      </c>
    </row>
    <row r="1788" spans="1:2" x14ac:dyDescent="0.25">
      <c r="A1788" s="29" t="s">
        <v>4300</v>
      </c>
      <c r="B1788" s="30" t="s">
        <v>4301</v>
      </c>
    </row>
    <row r="1789" spans="1:2" x14ac:dyDescent="0.25">
      <c r="A1789" s="29" t="s">
        <v>4302</v>
      </c>
      <c r="B1789" s="30" t="s">
        <v>4303</v>
      </c>
    </row>
    <row r="1790" spans="1:2" x14ac:dyDescent="0.25">
      <c r="A1790" s="29" t="s">
        <v>4304</v>
      </c>
      <c r="B1790" s="30" t="s">
        <v>4305</v>
      </c>
    </row>
    <row r="1791" spans="1:2" x14ac:dyDescent="0.25">
      <c r="A1791" s="29" t="s">
        <v>4306</v>
      </c>
      <c r="B1791" s="30" t="s">
        <v>4307</v>
      </c>
    </row>
    <row r="1792" spans="1:2" x14ac:dyDescent="0.25">
      <c r="A1792" s="29" t="s">
        <v>4308</v>
      </c>
      <c r="B1792" s="30" t="s">
        <v>4309</v>
      </c>
    </row>
    <row r="1793" spans="1:2" x14ac:dyDescent="0.25">
      <c r="A1793" s="29" t="s">
        <v>4310</v>
      </c>
      <c r="B1793" s="30" t="s">
        <v>4311</v>
      </c>
    </row>
    <row r="1794" spans="1:2" x14ac:dyDescent="0.25">
      <c r="A1794" s="29" t="s">
        <v>4312</v>
      </c>
      <c r="B1794" s="30" t="s">
        <v>4313</v>
      </c>
    </row>
    <row r="1795" spans="1:2" x14ac:dyDescent="0.25">
      <c r="A1795" s="29" t="s">
        <v>4314</v>
      </c>
      <c r="B1795" s="30" t="s">
        <v>4315</v>
      </c>
    </row>
    <row r="1796" spans="1:2" x14ac:dyDescent="0.25">
      <c r="A1796" s="29" t="s">
        <v>4316</v>
      </c>
      <c r="B1796" s="30" t="s">
        <v>4317</v>
      </c>
    </row>
    <row r="1797" spans="1:2" x14ac:dyDescent="0.25">
      <c r="A1797" s="29" t="s">
        <v>4318</v>
      </c>
      <c r="B1797" s="30" t="s">
        <v>4319</v>
      </c>
    </row>
    <row r="1798" spans="1:2" x14ac:dyDescent="0.25">
      <c r="A1798" s="29" t="s">
        <v>4320</v>
      </c>
      <c r="B1798" s="30" t="s">
        <v>4321</v>
      </c>
    </row>
    <row r="1799" spans="1:2" x14ac:dyDescent="0.25">
      <c r="A1799" s="29" t="s">
        <v>4322</v>
      </c>
      <c r="B1799" s="30" t="s">
        <v>4323</v>
      </c>
    </row>
    <row r="1800" spans="1:2" x14ac:dyDescent="0.25">
      <c r="A1800" s="29" t="s">
        <v>4324</v>
      </c>
      <c r="B1800" s="30" t="s">
        <v>4325</v>
      </c>
    </row>
    <row r="1801" spans="1:2" x14ac:dyDescent="0.25">
      <c r="A1801" s="29" t="s">
        <v>4326</v>
      </c>
      <c r="B1801" s="30" t="s">
        <v>4327</v>
      </c>
    </row>
    <row r="1802" spans="1:2" x14ac:dyDescent="0.25">
      <c r="A1802" s="29" t="s">
        <v>4328</v>
      </c>
      <c r="B1802" s="30" t="s">
        <v>4329</v>
      </c>
    </row>
    <row r="1803" spans="1:2" x14ac:dyDescent="0.25">
      <c r="A1803" s="29" t="s">
        <v>4330</v>
      </c>
      <c r="B1803" s="30" t="s">
        <v>4331</v>
      </c>
    </row>
    <row r="1804" spans="1:2" x14ac:dyDescent="0.25">
      <c r="A1804" s="29" t="s">
        <v>4332</v>
      </c>
      <c r="B1804" s="30" t="s">
        <v>4333</v>
      </c>
    </row>
    <row r="1805" spans="1:2" x14ac:dyDescent="0.25">
      <c r="A1805" s="29" t="s">
        <v>4334</v>
      </c>
      <c r="B1805" s="30" t="s">
        <v>4335</v>
      </c>
    </row>
    <row r="1806" spans="1:2" x14ac:dyDescent="0.25">
      <c r="A1806" s="29" t="s">
        <v>4336</v>
      </c>
      <c r="B1806" s="30" t="s">
        <v>4337</v>
      </c>
    </row>
    <row r="1807" spans="1:2" x14ac:dyDescent="0.25">
      <c r="A1807" s="29" t="s">
        <v>4338</v>
      </c>
      <c r="B1807" s="30" t="s">
        <v>4339</v>
      </c>
    </row>
    <row r="1808" spans="1:2" x14ac:dyDescent="0.25">
      <c r="A1808" s="29" t="s">
        <v>4340</v>
      </c>
      <c r="B1808" s="30" t="s">
        <v>4341</v>
      </c>
    </row>
    <row r="1809" spans="1:2" x14ac:dyDescent="0.25">
      <c r="A1809" s="29" t="s">
        <v>4342</v>
      </c>
      <c r="B1809" s="30" t="s">
        <v>4343</v>
      </c>
    </row>
    <row r="1810" spans="1:2" x14ac:dyDescent="0.25">
      <c r="A1810" s="29" t="s">
        <v>4344</v>
      </c>
      <c r="B1810" s="30" t="s">
        <v>4345</v>
      </c>
    </row>
    <row r="1811" spans="1:2" x14ac:dyDescent="0.25">
      <c r="A1811" s="29" t="s">
        <v>4346</v>
      </c>
      <c r="B1811" s="30" t="s">
        <v>4347</v>
      </c>
    </row>
    <row r="1812" spans="1:2" x14ac:dyDescent="0.25">
      <c r="A1812" s="29" t="s">
        <v>433</v>
      </c>
      <c r="B1812" s="30" t="s">
        <v>4348</v>
      </c>
    </row>
    <row r="1813" spans="1:2" x14ac:dyDescent="0.25">
      <c r="A1813" s="29" t="s">
        <v>4349</v>
      </c>
      <c r="B1813" s="30" t="s">
        <v>4350</v>
      </c>
    </row>
    <row r="1814" spans="1:2" x14ac:dyDescent="0.25">
      <c r="A1814" s="29" t="s">
        <v>4351</v>
      </c>
      <c r="B1814" s="30" t="s">
        <v>4352</v>
      </c>
    </row>
    <row r="1815" spans="1:2" x14ac:dyDescent="0.25">
      <c r="A1815" s="29" t="s">
        <v>4353</v>
      </c>
      <c r="B1815" s="30" t="s">
        <v>4354</v>
      </c>
    </row>
    <row r="1816" spans="1:2" x14ac:dyDescent="0.25">
      <c r="A1816" s="29" t="s">
        <v>289</v>
      </c>
      <c r="B1816" s="30" t="s">
        <v>4355</v>
      </c>
    </row>
    <row r="1817" spans="1:2" x14ac:dyDescent="0.25">
      <c r="A1817" s="29" t="s">
        <v>4356</v>
      </c>
      <c r="B1817" s="30" t="s">
        <v>4357</v>
      </c>
    </row>
    <row r="1818" spans="1:2" x14ac:dyDescent="0.25">
      <c r="A1818" s="29" t="s">
        <v>4358</v>
      </c>
      <c r="B1818" s="30" t="s">
        <v>4359</v>
      </c>
    </row>
    <row r="1819" spans="1:2" x14ac:dyDescent="0.25">
      <c r="A1819" s="29" t="s">
        <v>4360</v>
      </c>
      <c r="B1819" s="30" t="s">
        <v>4361</v>
      </c>
    </row>
    <row r="1820" spans="1:2" x14ac:dyDescent="0.25">
      <c r="A1820" s="29" t="s">
        <v>4362</v>
      </c>
      <c r="B1820" s="30" t="s">
        <v>4363</v>
      </c>
    </row>
    <row r="1821" spans="1:2" x14ac:dyDescent="0.25">
      <c r="A1821" s="29" t="s">
        <v>4364</v>
      </c>
      <c r="B1821" s="30" t="s">
        <v>4365</v>
      </c>
    </row>
    <row r="1822" spans="1:2" x14ac:dyDescent="0.25">
      <c r="A1822" s="29" t="s">
        <v>4366</v>
      </c>
      <c r="B1822" s="30" t="s">
        <v>4367</v>
      </c>
    </row>
    <row r="1823" spans="1:2" x14ac:dyDescent="0.25">
      <c r="A1823" s="29" t="s">
        <v>4368</v>
      </c>
      <c r="B1823" s="30" t="s">
        <v>4369</v>
      </c>
    </row>
    <row r="1824" spans="1:2" x14ac:dyDescent="0.25">
      <c r="A1824" s="29" t="s">
        <v>4370</v>
      </c>
      <c r="B1824" s="30" t="s">
        <v>4371</v>
      </c>
    </row>
    <row r="1825" spans="1:2" x14ac:dyDescent="0.25">
      <c r="A1825" s="29" t="s">
        <v>4372</v>
      </c>
      <c r="B1825" s="30" t="s">
        <v>4373</v>
      </c>
    </row>
    <row r="1826" spans="1:2" x14ac:dyDescent="0.25">
      <c r="A1826" s="29" t="s">
        <v>4374</v>
      </c>
      <c r="B1826" s="30" t="s">
        <v>4375</v>
      </c>
    </row>
    <row r="1827" spans="1:2" x14ac:dyDescent="0.25">
      <c r="A1827" s="29" t="s">
        <v>4376</v>
      </c>
      <c r="B1827" s="30" t="s">
        <v>4377</v>
      </c>
    </row>
    <row r="1828" spans="1:2" x14ac:dyDescent="0.25">
      <c r="A1828" s="29" t="s">
        <v>4378</v>
      </c>
      <c r="B1828" s="30" t="s">
        <v>4379</v>
      </c>
    </row>
    <row r="1829" spans="1:2" x14ac:dyDescent="0.25">
      <c r="A1829" s="29" t="s">
        <v>4380</v>
      </c>
      <c r="B1829" s="30" t="s">
        <v>4381</v>
      </c>
    </row>
    <row r="1830" spans="1:2" x14ac:dyDescent="0.25">
      <c r="A1830" s="29" t="s">
        <v>4382</v>
      </c>
      <c r="B1830" s="30" t="s">
        <v>4383</v>
      </c>
    </row>
    <row r="1831" spans="1:2" x14ac:dyDescent="0.25">
      <c r="A1831" s="29" t="s">
        <v>4384</v>
      </c>
      <c r="B1831" s="30" t="s">
        <v>4385</v>
      </c>
    </row>
    <row r="1832" spans="1:2" x14ac:dyDescent="0.25">
      <c r="A1832" s="29" t="s">
        <v>4386</v>
      </c>
      <c r="B1832" s="30" t="s">
        <v>4387</v>
      </c>
    </row>
    <row r="1833" spans="1:2" x14ac:dyDescent="0.25">
      <c r="A1833" s="29" t="s">
        <v>4388</v>
      </c>
      <c r="B1833" s="30" t="s">
        <v>4389</v>
      </c>
    </row>
    <row r="1834" spans="1:2" x14ac:dyDescent="0.25">
      <c r="A1834" s="29" t="s">
        <v>4390</v>
      </c>
      <c r="B1834" s="30" t="s">
        <v>4391</v>
      </c>
    </row>
    <row r="1835" spans="1:2" x14ac:dyDescent="0.25">
      <c r="A1835" s="29" t="s">
        <v>4392</v>
      </c>
      <c r="B1835" s="30" t="s">
        <v>4393</v>
      </c>
    </row>
    <row r="1836" spans="1:2" x14ac:dyDescent="0.25">
      <c r="A1836" s="29" t="s">
        <v>4394</v>
      </c>
      <c r="B1836" s="30" t="s">
        <v>4395</v>
      </c>
    </row>
    <row r="1837" spans="1:2" x14ac:dyDescent="0.25">
      <c r="A1837" s="29" t="s">
        <v>4396</v>
      </c>
      <c r="B1837" s="30" t="s">
        <v>4397</v>
      </c>
    </row>
    <row r="1838" spans="1:2" x14ac:dyDescent="0.25">
      <c r="A1838" s="29" t="s">
        <v>4398</v>
      </c>
      <c r="B1838" s="30" t="s">
        <v>4399</v>
      </c>
    </row>
    <row r="1839" spans="1:2" x14ac:dyDescent="0.25">
      <c r="A1839" s="29" t="s">
        <v>4400</v>
      </c>
      <c r="B1839" s="30" t="s">
        <v>4401</v>
      </c>
    </row>
    <row r="1840" spans="1:2" x14ac:dyDescent="0.25">
      <c r="A1840" s="29" t="s">
        <v>4402</v>
      </c>
      <c r="B1840" s="30" t="s">
        <v>4403</v>
      </c>
    </row>
    <row r="1841" spans="1:2" x14ac:dyDescent="0.25">
      <c r="A1841" s="29" t="s">
        <v>4404</v>
      </c>
      <c r="B1841" s="30" t="s">
        <v>4405</v>
      </c>
    </row>
    <row r="1842" spans="1:2" x14ac:dyDescent="0.25">
      <c r="A1842" s="29" t="s">
        <v>4406</v>
      </c>
      <c r="B1842" s="30" t="s">
        <v>4407</v>
      </c>
    </row>
    <row r="1843" spans="1:2" x14ac:dyDescent="0.25">
      <c r="A1843" s="29" t="s">
        <v>4408</v>
      </c>
      <c r="B1843" s="30" t="s">
        <v>4409</v>
      </c>
    </row>
    <row r="1844" spans="1:2" x14ac:dyDescent="0.25">
      <c r="A1844" s="29" t="s">
        <v>4410</v>
      </c>
      <c r="B1844" s="30" t="s">
        <v>4411</v>
      </c>
    </row>
    <row r="1845" spans="1:2" x14ac:dyDescent="0.25">
      <c r="A1845" s="29" t="s">
        <v>4412</v>
      </c>
      <c r="B1845" s="30" t="s">
        <v>4413</v>
      </c>
    </row>
    <row r="1846" spans="1:2" x14ac:dyDescent="0.25">
      <c r="A1846" s="29" t="s">
        <v>4414</v>
      </c>
      <c r="B1846" s="30" t="s">
        <v>4415</v>
      </c>
    </row>
    <row r="1847" spans="1:2" x14ac:dyDescent="0.25">
      <c r="A1847" s="29" t="s">
        <v>4416</v>
      </c>
      <c r="B1847" s="30" t="s">
        <v>4417</v>
      </c>
    </row>
    <row r="1848" spans="1:2" x14ac:dyDescent="0.25">
      <c r="A1848" s="29" t="s">
        <v>4418</v>
      </c>
      <c r="B1848" s="30" t="s">
        <v>4419</v>
      </c>
    </row>
    <row r="1849" spans="1:2" x14ac:dyDescent="0.25">
      <c r="A1849" s="29" t="s">
        <v>4420</v>
      </c>
      <c r="B1849" s="30" t="s">
        <v>4421</v>
      </c>
    </row>
    <row r="1850" spans="1:2" x14ac:dyDescent="0.25">
      <c r="A1850" s="29" t="s">
        <v>4422</v>
      </c>
      <c r="B1850" s="30" t="s">
        <v>4423</v>
      </c>
    </row>
    <row r="1851" spans="1:2" x14ac:dyDescent="0.25">
      <c r="A1851" s="29" t="s">
        <v>4424</v>
      </c>
      <c r="B1851" s="30" t="s">
        <v>4425</v>
      </c>
    </row>
    <row r="1852" spans="1:2" x14ac:dyDescent="0.25">
      <c r="A1852" s="29" t="s">
        <v>4426</v>
      </c>
      <c r="B1852" s="30" t="s">
        <v>4427</v>
      </c>
    </row>
    <row r="1853" spans="1:2" x14ac:dyDescent="0.25">
      <c r="A1853" s="29" t="s">
        <v>4428</v>
      </c>
      <c r="B1853" s="30" t="s">
        <v>4429</v>
      </c>
    </row>
    <row r="1854" spans="1:2" x14ac:dyDescent="0.25">
      <c r="A1854" s="29" t="s">
        <v>4430</v>
      </c>
      <c r="B1854" s="30" t="s">
        <v>4431</v>
      </c>
    </row>
    <row r="1855" spans="1:2" x14ac:dyDescent="0.25">
      <c r="A1855" s="29" t="s">
        <v>4432</v>
      </c>
      <c r="B1855" s="30" t="s">
        <v>4433</v>
      </c>
    </row>
    <row r="1856" spans="1:2" x14ac:dyDescent="0.25">
      <c r="A1856" s="29" t="s">
        <v>4434</v>
      </c>
      <c r="B1856" s="30" t="s">
        <v>4435</v>
      </c>
    </row>
    <row r="1857" spans="1:2" x14ac:dyDescent="0.25">
      <c r="A1857" s="29" t="s">
        <v>4436</v>
      </c>
      <c r="B1857" s="30" t="s">
        <v>4437</v>
      </c>
    </row>
    <row r="1858" spans="1:2" x14ac:dyDescent="0.25">
      <c r="A1858" s="29" t="s">
        <v>4438</v>
      </c>
      <c r="B1858" s="30" t="s">
        <v>4439</v>
      </c>
    </row>
    <row r="1859" spans="1:2" x14ac:dyDescent="0.25">
      <c r="A1859" s="29" t="s">
        <v>4440</v>
      </c>
      <c r="B1859" s="30" t="s">
        <v>4441</v>
      </c>
    </row>
    <row r="1860" spans="1:2" x14ac:dyDescent="0.25">
      <c r="A1860" s="29" t="s">
        <v>4442</v>
      </c>
      <c r="B1860" s="30" t="s">
        <v>4443</v>
      </c>
    </row>
    <row r="1861" spans="1:2" x14ac:dyDescent="0.25">
      <c r="A1861" s="29" t="s">
        <v>4444</v>
      </c>
      <c r="B1861" s="30" t="s">
        <v>4445</v>
      </c>
    </row>
    <row r="1862" spans="1:2" x14ac:dyDescent="0.25">
      <c r="A1862" s="29" t="s">
        <v>4446</v>
      </c>
      <c r="B1862" s="30" t="s">
        <v>4447</v>
      </c>
    </row>
    <row r="1863" spans="1:2" x14ac:dyDescent="0.25">
      <c r="A1863" s="29" t="s">
        <v>4448</v>
      </c>
      <c r="B1863" s="30" t="s">
        <v>4449</v>
      </c>
    </row>
    <row r="1864" spans="1:2" x14ac:dyDescent="0.25">
      <c r="A1864" s="29" t="s">
        <v>4450</v>
      </c>
      <c r="B1864" s="30" t="s">
        <v>4451</v>
      </c>
    </row>
    <row r="1865" spans="1:2" x14ac:dyDescent="0.25">
      <c r="A1865" s="29" t="s">
        <v>4452</v>
      </c>
      <c r="B1865" s="30" t="s">
        <v>4453</v>
      </c>
    </row>
    <row r="1866" spans="1:2" x14ac:dyDescent="0.25">
      <c r="A1866" s="29" t="s">
        <v>4454</v>
      </c>
      <c r="B1866" s="30" t="s">
        <v>4455</v>
      </c>
    </row>
    <row r="1867" spans="1:2" x14ac:dyDescent="0.25">
      <c r="A1867" s="29" t="s">
        <v>4456</v>
      </c>
      <c r="B1867" s="30" t="s">
        <v>4457</v>
      </c>
    </row>
    <row r="1868" spans="1:2" x14ac:dyDescent="0.25">
      <c r="A1868" s="29" t="s">
        <v>4458</v>
      </c>
      <c r="B1868" s="30" t="s">
        <v>4459</v>
      </c>
    </row>
    <row r="1869" spans="1:2" x14ac:dyDescent="0.25">
      <c r="A1869" s="29" t="s">
        <v>4460</v>
      </c>
      <c r="B1869" s="30" t="s">
        <v>4461</v>
      </c>
    </row>
    <row r="1870" spans="1:2" x14ac:dyDescent="0.25">
      <c r="A1870" s="29" t="s">
        <v>4462</v>
      </c>
      <c r="B1870" s="30" t="s">
        <v>4463</v>
      </c>
    </row>
    <row r="1871" spans="1:2" x14ac:dyDescent="0.25">
      <c r="A1871" s="29" t="s">
        <v>4464</v>
      </c>
      <c r="B1871" s="30" t="s">
        <v>4465</v>
      </c>
    </row>
    <row r="1872" spans="1:2" x14ac:dyDescent="0.25">
      <c r="A1872" s="29" t="s">
        <v>4466</v>
      </c>
      <c r="B1872" s="30" t="s">
        <v>4467</v>
      </c>
    </row>
    <row r="1873" spans="1:2" x14ac:dyDescent="0.25">
      <c r="A1873" s="29" t="s">
        <v>4468</v>
      </c>
      <c r="B1873" s="30" t="s">
        <v>4469</v>
      </c>
    </row>
    <row r="1874" spans="1:2" x14ac:dyDescent="0.25">
      <c r="A1874" s="29" t="s">
        <v>4470</v>
      </c>
      <c r="B1874" s="30" t="s">
        <v>4471</v>
      </c>
    </row>
    <row r="1875" spans="1:2" x14ac:dyDescent="0.25">
      <c r="A1875" s="29" t="s">
        <v>4472</v>
      </c>
      <c r="B1875" s="30" t="s">
        <v>4473</v>
      </c>
    </row>
    <row r="1876" spans="1:2" x14ac:dyDescent="0.25">
      <c r="A1876" s="29" t="s">
        <v>4474</v>
      </c>
      <c r="B1876" s="30" t="s">
        <v>4475</v>
      </c>
    </row>
    <row r="1877" spans="1:2" x14ac:dyDescent="0.25">
      <c r="A1877" s="29" t="s">
        <v>4476</v>
      </c>
      <c r="B1877" s="30" t="s">
        <v>4477</v>
      </c>
    </row>
    <row r="1878" spans="1:2" x14ac:dyDescent="0.25">
      <c r="A1878" s="29" t="s">
        <v>4478</v>
      </c>
      <c r="B1878" s="30" t="s">
        <v>4479</v>
      </c>
    </row>
    <row r="1879" spans="1:2" x14ac:dyDescent="0.25">
      <c r="A1879" s="29" t="s">
        <v>4480</v>
      </c>
      <c r="B1879" s="30" t="s">
        <v>4481</v>
      </c>
    </row>
    <row r="1880" spans="1:2" x14ac:dyDescent="0.25">
      <c r="A1880" s="29" t="s">
        <v>4482</v>
      </c>
      <c r="B1880" s="30" t="s">
        <v>4483</v>
      </c>
    </row>
    <row r="1881" spans="1:2" x14ac:dyDescent="0.25">
      <c r="A1881" s="29" t="s">
        <v>4484</v>
      </c>
      <c r="B1881" s="30" t="s">
        <v>4485</v>
      </c>
    </row>
    <row r="1882" spans="1:2" x14ac:dyDescent="0.25">
      <c r="A1882" s="29" t="s">
        <v>4486</v>
      </c>
      <c r="B1882" s="30" t="s">
        <v>4487</v>
      </c>
    </row>
    <row r="1883" spans="1:2" x14ac:dyDescent="0.25">
      <c r="A1883" s="29" t="s">
        <v>4488</v>
      </c>
      <c r="B1883" s="30" t="s">
        <v>4489</v>
      </c>
    </row>
    <row r="1884" spans="1:2" x14ac:dyDescent="0.25">
      <c r="A1884" s="29" t="s">
        <v>4490</v>
      </c>
      <c r="B1884" s="30" t="s">
        <v>4491</v>
      </c>
    </row>
    <row r="1885" spans="1:2" x14ac:dyDescent="0.25">
      <c r="A1885" s="29" t="s">
        <v>4492</v>
      </c>
      <c r="B1885" s="30" t="s">
        <v>4493</v>
      </c>
    </row>
    <row r="1886" spans="1:2" x14ac:dyDescent="0.25">
      <c r="A1886" s="29" t="s">
        <v>4494</v>
      </c>
      <c r="B1886" s="30" t="s">
        <v>4495</v>
      </c>
    </row>
    <row r="1887" spans="1:2" x14ac:dyDescent="0.25">
      <c r="A1887" s="29" t="s">
        <v>4496</v>
      </c>
      <c r="B1887" s="30" t="s">
        <v>4497</v>
      </c>
    </row>
    <row r="1888" spans="1:2" x14ac:dyDescent="0.25">
      <c r="A1888" s="29" t="s">
        <v>4498</v>
      </c>
      <c r="B1888" s="30" t="s">
        <v>4499</v>
      </c>
    </row>
    <row r="1889" spans="1:2" x14ac:dyDescent="0.25">
      <c r="A1889" s="29" t="s">
        <v>4500</v>
      </c>
      <c r="B1889" s="30" t="s">
        <v>4501</v>
      </c>
    </row>
    <row r="1890" spans="1:2" x14ac:dyDescent="0.25">
      <c r="A1890" s="29" t="s">
        <v>4502</v>
      </c>
      <c r="B1890" s="30" t="s">
        <v>4503</v>
      </c>
    </row>
    <row r="1891" spans="1:2" x14ac:dyDescent="0.25">
      <c r="A1891" s="29" t="s">
        <v>4504</v>
      </c>
      <c r="B1891" s="30" t="s">
        <v>4505</v>
      </c>
    </row>
    <row r="1892" spans="1:2" x14ac:dyDescent="0.25">
      <c r="A1892" s="29" t="s">
        <v>4506</v>
      </c>
      <c r="B1892" s="30" t="s">
        <v>4507</v>
      </c>
    </row>
    <row r="1893" spans="1:2" x14ac:dyDescent="0.25">
      <c r="A1893" s="29" t="s">
        <v>4508</v>
      </c>
      <c r="B1893" s="30" t="s">
        <v>4509</v>
      </c>
    </row>
    <row r="1894" spans="1:2" x14ac:dyDescent="0.25">
      <c r="A1894" s="29" t="s">
        <v>4510</v>
      </c>
      <c r="B1894" s="30" t="s">
        <v>4511</v>
      </c>
    </row>
    <row r="1895" spans="1:2" x14ac:dyDescent="0.25">
      <c r="A1895" s="29" t="s">
        <v>4512</v>
      </c>
      <c r="B1895" s="30" t="s">
        <v>4513</v>
      </c>
    </row>
    <row r="1896" spans="1:2" x14ac:dyDescent="0.25">
      <c r="A1896" s="29" t="s">
        <v>4514</v>
      </c>
      <c r="B1896" s="30" t="s">
        <v>4515</v>
      </c>
    </row>
    <row r="1897" spans="1:2" x14ac:dyDescent="0.25">
      <c r="A1897" s="29" t="s">
        <v>4516</v>
      </c>
      <c r="B1897" s="30" t="s">
        <v>4517</v>
      </c>
    </row>
    <row r="1898" spans="1:2" x14ac:dyDescent="0.25">
      <c r="A1898" s="29" t="s">
        <v>4518</v>
      </c>
      <c r="B1898" s="30" t="s">
        <v>4519</v>
      </c>
    </row>
    <row r="1899" spans="1:2" x14ac:dyDescent="0.25">
      <c r="A1899" s="29" t="s">
        <v>4520</v>
      </c>
      <c r="B1899" s="30" t="s">
        <v>4521</v>
      </c>
    </row>
    <row r="1900" spans="1:2" x14ac:dyDescent="0.25">
      <c r="A1900" s="29" t="s">
        <v>4522</v>
      </c>
      <c r="B1900" s="30" t="s">
        <v>4523</v>
      </c>
    </row>
    <row r="1901" spans="1:2" x14ac:dyDescent="0.25">
      <c r="A1901" s="29" t="s">
        <v>4524</v>
      </c>
      <c r="B1901" s="30" t="s">
        <v>4525</v>
      </c>
    </row>
    <row r="1902" spans="1:2" x14ac:dyDescent="0.25">
      <c r="A1902" s="29" t="s">
        <v>4526</v>
      </c>
      <c r="B1902" s="30" t="s">
        <v>4527</v>
      </c>
    </row>
    <row r="1903" spans="1:2" x14ac:dyDescent="0.25">
      <c r="A1903" s="29" t="s">
        <v>4528</v>
      </c>
      <c r="B1903" s="30" t="s">
        <v>4529</v>
      </c>
    </row>
    <row r="1904" spans="1:2" x14ac:dyDescent="0.25">
      <c r="A1904" s="29" t="s">
        <v>4530</v>
      </c>
      <c r="B1904" s="30" t="s">
        <v>4531</v>
      </c>
    </row>
    <row r="1905" spans="1:2" x14ac:dyDescent="0.25">
      <c r="A1905" s="29" t="s">
        <v>4532</v>
      </c>
      <c r="B1905" s="30" t="s">
        <v>4533</v>
      </c>
    </row>
    <row r="1906" spans="1:2" x14ac:dyDescent="0.25">
      <c r="A1906" s="29" t="s">
        <v>4534</v>
      </c>
      <c r="B1906" s="30" t="s">
        <v>4535</v>
      </c>
    </row>
    <row r="1907" spans="1:2" x14ac:dyDescent="0.25">
      <c r="A1907" s="29" t="s">
        <v>4536</v>
      </c>
      <c r="B1907" s="30" t="s">
        <v>4537</v>
      </c>
    </row>
    <row r="1908" spans="1:2" x14ac:dyDescent="0.25">
      <c r="A1908" s="29" t="s">
        <v>4538</v>
      </c>
      <c r="B1908" s="30" t="s">
        <v>4539</v>
      </c>
    </row>
    <row r="1909" spans="1:2" x14ac:dyDescent="0.25">
      <c r="A1909" s="29" t="s">
        <v>4540</v>
      </c>
      <c r="B1909" s="30" t="s">
        <v>4541</v>
      </c>
    </row>
    <row r="1910" spans="1:2" x14ac:dyDescent="0.25">
      <c r="A1910" s="29" t="s">
        <v>4542</v>
      </c>
      <c r="B1910" s="30" t="s">
        <v>4543</v>
      </c>
    </row>
    <row r="1911" spans="1:2" x14ac:dyDescent="0.25">
      <c r="A1911" s="29" t="s">
        <v>4544</v>
      </c>
      <c r="B1911" s="30" t="s">
        <v>4545</v>
      </c>
    </row>
    <row r="1912" spans="1:2" x14ac:dyDescent="0.25">
      <c r="A1912" s="29" t="s">
        <v>4546</v>
      </c>
      <c r="B1912" s="30" t="s">
        <v>4547</v>
      </c>
    </row>
    <row r="1913" spans="1:2" x14ac:dyDescent="0.25">
      <c r="A1913" s="29" t="s">
        <v>4548</v>
      </c>
      <c r="B1913" s="30" t="s">
        <v>4549</v>
      </c>
    </row>
    <row r="1914" spans="1:2" x14ac:dyDescent="0.25">
      <c r="A1914" s="29" t="s">
        <v>4550</v>
      </c>
      <c r="B1914" s="30" t="s">
        <v>4551</v>
      </c>
    </row>
    <row r="1915" spans="1:2" x14ac:dyDescent="0.25">
      <c r="A1915" s="29" t="s">
        <v>4552</v>
      </c>
      <c r="B1915" s="30" t="s">
        <v>4553</v>
      </c>
    </row>
    <row r="1916" spans="1:2" x14ac:dyDescent="0.25">
      <c r="A1916" s="29" t="s">
        <v>4554</v>
      </c>
      <c r="B1916" s="30" t="s">
        <v>4555</v>
      </c>
    </row>
    <row r="1917" spans="1:2" x14ac:dyDescent="0.25">
      <c r="A1917" s="29" t="s">
        <v>4556</v>
      </c>
      <c r="B1917" s="30" t="s">
        <v>4557</v>
      </c>
    </row>
    <row r="1918" spans="1:2" x14ac:dyDescent="0.25">
      <c r="A1918" s="29" t="s">
        <v>4558</v>
      </c>
      <c r="B1918" s="30" t="s">
        <v>4559</v>
      </c>
    </row>
    <row r="1919" spans="1:2" x14ac:dyDescent="0.25">
      <c r="A1919" s="29" t="s">
        <v>4560</v>
      </c>
      <c r="B1919" s="30" t="s">
        <v>4561</v>
      </c>
    </row>
    <row r="1920" spans="1:2" x14ac:dyDescent="0.25">
      <c r="A1920" s="29" t="s">
        <v>4562</v>
      </c>
      <c r="B1920" s="30" t="s">
        <v>4563</v>
      </c>
    </row>
    <row r="1921" spans="1:2" x14ac:dyDescent="0.25">
      <c r="A1921" s="29" t="s">
        <v>4564</v>
      </c>
      <c r="B1921" s="30" t="s">
        <v>4565</v>
      </c>
    </row>
    <row r="1922" spans="1:2" x14ac:dyDescent="0.25">
      <c r="A1922" s="29" t="s">
        <v>4566</v>
      </c>
      <c r="B1922" s="30" t="s">
        <v>4567</v>
      </c>
    </row>
    <row r="1923" spans="1:2" x14ac:dyDescent="0.25">
      <c r="A1923" s="29" t="s">
        <v>4568</v>
      </c>
      <c r="B1923" s="30" t="s">
        <v>4569</v>
      </c>
    </row>
    <row r="1924" spans="1:2" x14ac:dyDescent="0.25">
      <c r="A1924" s="29" t="s">
        <v>4570</v>
      </c>
      <c r="B1924" s="30" t="s">
        <v>4571</v>
      </c>
    </row>
    <row r="1925" spans="1:2" x14ac:dyDescent="0.25">
      <c r="A1925" s="29" t="s">
        <v>4572</v>
      </c>
      <c r="B1925" s="30" t="s">
        <v>4573</v>
      </c>
    </row>
    <row r="1926" spans="1:2" x14ac:dyDescent="0.25">
      <c r="A1926" s="29" t="s">
        <v>4574</v>
      </c>
      <c r="B1926" s="30" t="s">
        <v>4575</v>
      </c>
    </row>
    <row r="1927" spans="1:2" x14ac:dyDescent="0.25">
      <c r="A1927" s="29" t="s">
        <v>4576</v>
      </c>
      <c r="B1927" s="30" t="s">
        <v>4577</v>
      </c>
    </row>
    <row r="1928" spans="1:2" x14ac:dyDescent="0.25">
      <c r="A1928" s="29" t="s">
        <v>4578</v>
      </c>
      <c r="B1928" s="30" t="s">
        <v>4579</v>
      </c>
    </row>
    <row r="1929" spans="1:2" x14ac:dyDescent="0.25">
      <c r="A1929" s="29" t="s">
        <v>4580</v>
      </c>
      <c r="B1929" s="30" t="s">
        <v>4581</v>
      </c>
    </row>
    <row r="1930" spans="1:2" x14ac:dyDescent="0.25">
      <c r="A1930" s="29" t="s">
        <v>4582</v>
      </c>
      <c r="B1930" s="30" t="s">
        <v>4583</v>
      </c>
    </row>
    <row r="1931" spans="1:2" x14ac:dyDescent="0.25">
      <c r="A1931" s="29" t="s">
        <v>4584</v>
      </c>
      <c r="B1931" s="30" t="s">
        <v>4585</v>
      </c>
    </row>
    <row r="1932" spans="1:2" x14ac:dyDescent="0.25">
      <c r="A1932" s="29" t="s">
        <v>4586</v>
      </c>
      <c r="B1932" s="30" t="s">
        <v>4587</v>
      </c>
    </row>
    <row r="1933" spans="1:2" x14ac:dyDescent="0.25">
      <c r="A1933" s="29" t="s">
        <v>4588</v>
      </c>
      <c r="B1933" s="30" t="s">
        <v>4589</v>
      </c>
    </row>
    <row r="1934" spans="1:2" x14ac:dyDescent="0.25">
      <c r="A1934" s="29" t="s">
        <v>4590</v>
      </c>
      <c r="B1934" s="30" t="s">
        <v>4591</v>
      </c>
    </row>
    <row r="1935" spans="1:2" x14ac:dyDescent="0.25">
      <c r="A1935" s="29" t="s">
        <v>4592</v>
      </c>
      <c r="B1935" s="30" t="s">
        <v>4593</v>
      </c>
    </row>
    <row r="1936" spans="1:2" x14ac:dyDescent="0.25">
      <c r="A1936" s="29" t="s">
        <v>4594</v>
      </c>
      <c r="B1936" s="30" t="s">
        <v>4595</v>
      </c>
    </row>
    <row r="1937" spans="1:2" x14ac:dyDescent="0.25">
      <c r="A1937" s="29" t="s">
        <v>4596</v>
      </c>
      <c r="B1937" s="30" t="s">
        <v>4597</v>
      </c>
    </row>
    <row r="1938" spans="1:2" x14ac:dyDescent="0.25">
      <c r="A1938" s="29" t="s">
        <v>4598</v>
      </c>
      <c r="B1938" s="30" t="s">
        <v>4599</v>
      </c>
    </row>
    <row r="1939" spans="1:2" x14ac:dyDescent="0.25">
      <c r="A1939" s="29" t="s">
        <v>4600</v>
      </c>
      <c r="B1939" s="30" t="s">
        <v>4601</v>
      </c>
    </row>
    <row r="1940" spans="1:2" x14ac:dyDescent="0.25">
      <c r="A1940" s="29" t="s">
        <v>4602</v>
      </c>
      <c r="B1940" s="30" t="s">
        <v>4603</v>
      </c>
    </row>
    <row r="1941" spans="1:2" x14ac:dyDescent="0.25">
      <c r="A1941" s="29" t="s">
        <v>4604</v>
      </c>
      <c r="B1941" s="30" t="s">
        <v>4605</v>
      </c>
    </row>
    <row r="1942" spans="1:2" x14ac:dyDescent="0.25">
      <c r="A1942" s="29" t="s">
        <v>4606</v>
      </c>
      <c r="B1942" s="30" t="s">
        <v>4607</v>
      </c>
    </row>
    <row r="1943" spans="1:2" x14ac:dyDescent="0.25">
      <c r="A1943" s="29" t="s">
        <v>4608</v>
      </c>
      <c r="B1943" s="30" t="s">
        <v>4609</v>
      </c>
    </row>
    <row r="1944" spans="1:2" x14ac:dyDescent="0.25">
      <c r="A1944" s="29" t="s">
        <v>4610</v>
      </c>
      <c r="B1944" s="30" t="s">
        <v>4611</v>
      </c>
    </row>
    <row r="1945" spans="1:2" x14ac:dyDescent="0.25">
      <c r="A1945" s="29" t="s">
        <v>4612</v>
      </c>
      <c r="B1945" s="30" t="s">
        <v>4613</v>
      </c>
    </row>
    <row r="1946" spans="1:2" x14ac:dyDescent="0.25">
      <c r="A1946" s="29" t="s">
        <v>4614</v>
      </c>
      <c r="B1946" s="30" t="s">
        <v>4615</v>
      </c>
    </row>
    <row r="1947" spans="1:2" x14ac:dyDescent="0.25">
      <c r="A1947" s="29" t="s">
        <v>4616</v>
      </c>
      <c r="B1947" s="30" t="s">
        <v>4617</v>
      </c>
    </row>
    <row r="1948" spans="1:2" x14ac:dyDescent="0.25">
      <c r="A1948" s="29" t="s">
        <v>4618</v>
      </c>
      <c r="B1948" s="30" t="s">
        <v>4619</v>
      </c>
    </row>
    <row r="1949" spans="1:2" x14ac:dyDescent="0.25">
      <c r="A1949" s="29" t="s">
        <v>4620</v>
      </c>
      <c r="B1949" s="30" t="s">
        <v>4621</v>
      </c>
    </row>
    <row r="1950" spans="1:2" x14ac:dyDescent="0.25">
      <c r="A1950" s="29" t="s">
        <v>4622</v>
      </c>
      <c r="B1950" s="30" t="s">
        <v>4623</v>
      </c>
    </row>
    <row r="1951" spans="1:2" x14ac:dyDescent="0.25">
      <c r="A1951" s="29" t="s">
        <v>4624</v>
      </c>
      <c r="B1951" s="30" t="s">
        <v>4625</v>
      </c>
    </row>
    <row r="1952" spans="1:2" x14ac:dyDescent="0.25">
      <c r="A1952" s="29" t="s">
        <v>4626</v>
      </c>
      <c r="B1952" s="30" t="s">
        <v>4627</v>
      </c>
    </row>
    <row r="1953" spans="1:2" x14ac:dyDescent="0.25">
      <c r="A1953" s="29" t="s">
        <v>4628</v>
      </c>
      <c r="B1953" s="30" t="s">
        <v>4629</v>
      </c>
    </row>
    <row r="1954" spans="1:2" x14ac:dyDescent="0.25">
      <c r="A1954" s="29" t="s">
        <v>4630</v>
      </c>
      <c r="B1954" s="30" t="s">
        <v>4631</v>
      </c>
    </row>
    <row r="1955" spans="1:2" x14ac:dyDescent="0.25">
      <c r="A1955" s="29" t="s">
        <v>4632</v>
      </c>
      <c r="B1955" s="30" t="s">
        <v>4633</v>
      </c>
    </row>
    <row r="1956" spans="1:2" x14ac:dyDescent="0.25">
      <c r="A1956" s="29" t="s">
        <v>2218</v>
      </c>
      <c r="B1956" s="30" t="s">
        <v>4634</v>
      </c>
    </row>
    <row r="1957" spans="1:2" x14ac:dyDescent="0.25">
      <c r="A1957" s="29" t="s">
        <v>2442</v>
      </c>
      <c r="B1957" s="30" t="s">
        <v>4635</v>
      </c>
    </row>
    <row r="1958" spans="1:2" x14ac:dyDescent="0.25">
      <c r="A1958" s="29" t="s">
        <v>1222</v>
      </c>
      <c r="B1958" s="30" t="s">
        <v>4636</v>
      </c>
    </row>
    <row r="1959" spans="1:2" x14ac:dyDescent="0.25">
      <c r="A1959" s="29" t="s">
        <v>2410</v>
      </c>
      <c r="B1959" s="30" t="s">
        <v>4637</v>
      </c>
    </row>
    <row r="1960" spans="1:2" x14ac:dyDescent="0.25">
      <c r="A1960" s="29" t="s">
        <v>2335</v>
      </c>
      <c r="B1960" s="30" t="s">
        <v>4638</v>
      </c>
    </row>
    <row r="1961" spans="1:2" x14ac:dyDescent="0.25">
      <c r="A1961" s="29" t="s">
        <v>2331</v>
      </c>
      <c r="B1961" s="30" t="s">
        <v>4639</v>
      </c>
    </row>
    <row r="1962" spans="1:2" x14ac:dyDescent="0.25">
      <c r="A1962" s="29" t="s">
        <v>4640</v>
      </c>
      <c r="B1962" s="30" t="s">
        <v>4641</v>
      </c>
    </row>
    <row r="1963" spans="1:2" x14ac:dyDescent="0.25">
      <c r="A1963" s="29" t="s">
        <v>4642</v>
      </c>
      <c r="B1963" s="30" t="s">
        <v>4643</v>
      </c>
    </row>
    <row r="1964" spans="1:2" x14ac:dyDescent="0.25">
      <c r="A1964" s="29" t="s">
        <v>4644</v>
      </c>
      <c r="B1964" s="30" t="s">
        <v>4645</v>
      </c>
    </row>
    <row r="1965" spans="1:2" x14ac:dyDescent="0.25">
      <c r="A1965" s="29" t="s">
        <v>4646</v>
      </c>
      <c r="B1965" s="30" t="s">
        <v>4647</v>
      </c>
    </row>
    <row r="1966" spans="1:2" x14ac:dyDescent="0.25">
      <c r="A1966" s="29" t="s">
        <v>4648</v>
      </c>
      <c r="B1966" s="30" t="s">
        <v>4649</v>
      </c>
    </row>
    <row r="1967" spans="1:2" x14ac:dyDescent="0.25">
      <c r="A1967" s="29" t="s">
        <v>4650</v>
      </c>
      <c r="B1967" s="30" t="s">
        <v>4651</v>
      </c>
    </row>
    <row r="1968" spans="1:2" x14ac:dyDescent="0.25">
      <c r="A1968" s="29" t="s">
        <v>4652</v>
      </c>
      <c r="B1968" s="30" t="s">
        <v>4653</v>
      </c>
    </row>
    <row r="1969" spans="1:2" x14ac:dyDescent="0.25">
      <c r="A1969" s="29" t="s">
        <v>4654</v>
      </c>
      <c r="B1969" s="30" t="s">
        <v>4655</v>
      </c>
    </row>
    <row r="1970" spans="1:2" x14ac:dyDescent="0.25">
      <c r="A1970" s="29" t="s">
        <v>4656</v>
      </c>
      <c r="B1970" s="30" t="s">
        <v>4657</v>
      </c>
    </row>
    <row r="1971" spans="1:2" x14ac:dyDescent="0.25">
      <c r="A1971" s="29" t="s">
        <v>532</v>
      </c>
      <c r="B1971" s="30" t="s">
        <v>4658</v>
      </c>
    </row>
    <row r="1972" spans="1:2" x14ac:dyDescent="0.25">
      <c r="A1972" s="29" t="s">
        <v>4659</v>
      </c>
      <c r="B1972" s="30" t="s">
        <v>4660</v>
      </c>
    </row>
    <row r="1973" spans="1:2" x14ac:dyDescent="0.25">
      <c r="A1973" s="29" t="s">
        <v>4661</v>
      </c>
      <c r="B1973" s="30" t="s">
        <v>4662</v>
      </c>
    </row>
    <row r="1974" spans="1:2" x14ac:dyDescent="0.25">
      <c r="A1974" s="29" t="s">
        <v>4663</v>
      </c>
      <c r="B1974" s="30" t="s">
        <v>4664</v>
      </c>
    </row>
    <row r="1975" spans="1:2" x14ac:dyDescent="0.25">
      <c r="A1975" s="29" t="s">
        <v>4665</v>
      </c>
      <c r="B1975" s="30" t="s">
        <v>4666</v>
      </c>
    </row>
    <row r="1976" spans="1:2" x14ac:dyDescent="0.25">
      <c r="A1976" s="29" t="s">
        <v>4667</v>
      </c>
      <c r="B1976" s="30" t="s">
        <v>4668</v>
      </c>
    </row>
    <row r="1977" spans="1:2" x14ac:dyDescent="0.25">
      <c r="A1977" s="29" t="s">
        <v>4669</v>
      </c>
      <c r="B1977" s="30" t="s">
        <v>4670</v>
      </c>
    </row>
    <row r="1978" spans="1:2" x14ac:dyDescent="0.25">
      <c r="A1978" s="29" t="s">
        <v>4671</v>
      </c>
      <c r="B1978" s="30" t="s">
        <v>4672</v>
      </c>
    </row>
    <row r="1979" spans="1:2" x14ac:dyDescent="0.25">
      <c r="A1979" s="29" t="s">
        <v>4673</v>
      </c>
      <c r="B1979" s="30" t="s">
        <v>4674</v>
      </c>
    </row>
    <row r="1980" spans="1:2" x14ac:dyDescent="0.25">
      <c r="A1980" s="29" t="s">
        <v>4675</v>
      </c>
      <c r="B1980" s="30" t="s">
        <v>4676</v>
      </c>
    </row>
    <row r="1981" spans="1:2" x14ac:dyDescent="0.25">
      <c r="A1981" s="29" t="s">
        <v>4677</v>
      </c>
      <c r="B1981" s="30" t="s">
        <v>4678</v>
      </c>
    </row>
    <row r="1982" spans="1:2" x14ac:dyDescent="0.25">
      <c r="A1982" s="29" t="s">
        <v>4679</v>
      </c>
      <c r="B1982" s="30" t="s">
        <v>4680</v>
      </c>
    </row>
    <row r="1983" spans="1:2" x14ac:dyDescent="0.25">
      <c r="A1983" s="29" t="s">
        <v>4681</v>
      </c>
      <c r="B1983" s="30" t="s">
        <v>4682</v>
      </c>
    </row>
    <row r="1984" spans="1:2" x14ac:dyDescent="0.25">
      <c r="A1984" s="29" t="s">
        <v>4683</v>
      </c>
      <c r="B1984" s="30" t="s">
        <v>4684</v>
      </c>
    </row>
    <row r="1985" spans="1:2" x14ac:dyDescent="0.25">
      <c r="A1985" s="29" t="s">
        <v>4685</v>
      </c>
      <c r="B1985" s="30" t="s">
        <v>4686</v>
      </c>
    </row>
    <row r="1986" spans="1:2" x14ac:dyDescent="0.25">
      <c r="A1986" s="29" t="s">
        <v>4687</v>
      </c>
      <c r="B1986" s="30" t="s">
        <v>4688</v>
      </c>
    </row>
    <row r="1987" spans="1:2" x14ac:dyDescent="0.25">
      <c r="A1987" s="29" t="s">
        <v>4689</v>
      </c>
      <c r="B1987" s="30" t="s">
        <v>4690</v>
      </c>
    </row>
    <row r="1988" spans="1:2" x14ac:dyDescent="0.25">
      <c r="A1988" s="29" t="s">
        <v>4691</v>
      </c>
      <c r="B1988" s="30" t="s">
        <v>4692</v>
      </c>
    </row>
    <row r="1989" spans="1:2" x14ac:dyDescent="0.25">
      <c r="A1989" s="29" t="s">
        <v>4693</v>
      </c>
      <c r="B1989" s="35"/>
    </row>
    <row r="1990" spans="1:2" x14ac:dyDescent="0.25">
      <c r="A1990" s="29" t="s">
        <v>4694</v>
      </c>
      <c r="B1990" s="35"/>
    </row>
    <row r="1991" spans="1:2" x14ac:dyDescent="0.25">
      <c r="A1991" s="29" t="s">
        <v>4695</v>
      </c>
      <c r="B1991" s="35"/>
    </row>
    <row r="1992" spans="1:2" x14ac:dyDescent="0.25">
      <c r="A1992" s="36" t="s">
        <v>4696</v>
      </c>
      <c r="B1992" s="35"/>
    </row>
    <row r="1993" spans="1:2" x14ac:dyDescent="0.25">
      <c r="A1993" s="29" t="s">
        <v>4697</v>
      </c>
      <c r="B1993" s="35"/>
    </row>
    <row r="1994" spans="1:2" x14ac:dyDescent="0.25">
      <c r="A1994" s="29" t="s">
        <v>4698</v>
      </c>
      <c r="B1994" s="35"/>
    </row>
    <row r="1995" spans="1:2" x14ac:dyDescent="0.25">
      <c r="A1995" s="29" t="s">
        <v>4699</v>
      </c>
      <c r="B1995" s="35"/>
    </row>
    <row r="1996" spans="1:2" x14ac:dyDescent="0.25">
      <c r="A1996" s="29" t="s">
        <v>4700</v>
      </c>
      <c r="B1996" s="35"/>
    </row>
    <row r="1997" spans="1:2" x14ac:dyDescent="0.25">
      <c r="A1997" s="29" t="s">
        <v>4701</v>
      </c>
      <c r="B1997" s="30" t="s">
        <v>4702</v>
      </c>
    </row>
    <row r="1998" spans="1:2" x14ac:dyDescent="0.25">
      <c r="A1998" s="29" t="s">
        <v>4703</v>
      </c>
      <c r="B1998" s="30" t="s">
        <v>4704</v>
      </c>
    </row>
    <row r="1999" spans="1:2" x14ac:dyDescent="0.25">
      <c r="A1999" s="29" t="s">
        <v>4705</v>
      </c>
      <c r="B1999" s="30" t="s">
        <v>4706</v>
      </c>
    </row>
    <row r="2000" spans="1:2" x14ac:dyDescent="0.25">
      <c r="A2000" s="29" t="s">
        <v>4707</v>
      </c>
      <c r="B2000" s="30" t="s">
        <v>4708</v>
      </c>
    </row>
    <row r="2001" spans="1:2" x14ac:dyDescent="0.25">
      <c r="A2001" s="29" t="s">
        <v>475</v>
      </c>
      <c r="B2001" s="30" t="s">
        <v>4709</v>
      </c>
    </row>
    <row r="2002" spans="1:2" x14ac:dyDescent="0.25">
      <c r="A2002" s="29" t="s">
        <v>4710</v>
      </c>
      <c r="B2002" s="30" t="s">
        <v>4711</v>
      </c>
    </row>
    <row r="2003" spans="1:2" x14ac:dyDescent="0.25">
      <c r="A2003" s="29" t="s">
        <v>4712</v>
      </c>
      <c r="B2003" s="30" t="s">
        <v>4713</v>
      </c>
    </row>
    <row r="2004" spans="1:2" x14ac:dyDescent="0.25">
      <c r="A2004" s="29" t="s">
        <v>4714</v>
      </c>
      <c r="B2004" s="30" t="s">
        <v>4715</v>
      </c>
    </row>
    <row r="2005" spans="1:2" x14ac:dyDescent="0.25">
      <c r="A2005" s="29" t="s">
        <v>4716</v>
      </c>
      <c r="B2005" s="30" t="s">
        <v>4717</v>
      </c>
    </row>
    <row r="2006" spans="1:2" x14ac:dyDescent="0.25">
      <c r="A2006" s="29" t="s">
        <v>4718</v>
      </c>
      <c r="B2006" s="30" t="s">
        <v>4719</v>
      </c>
    </row>
    <row r="2007" spans="1:2" x14ac:dyDescent="0.25">
      <c r="A2007" s="29" t="s">
        <v>4720</v>
      </c>
      <c r="B2007" s="30" t="s">
        <v>4721</v>
      </c>
    </row>
    <row r="2008" spans="1:2" x14ac:dyDescent="0.25">
      <c r="A2008" s="29" t="s">
        <v>4722</v>
      </c>
      <c r="B2008" s="30" t="s">
        <v>4723</v>
      </c>
    </row>
    <row r="2009" spans="1:2" x14ac:dyDescent="0.25">
      <c r="A2009" s="29" t="s">
        <v>389</v>
      </c>
      <c r="B2009" s="30" t="s">
        <v>4724</v>
      </c>
    </row>
    <row r="2010" spans="1:2" x14ac:dyDescent="0.25">
      <c r="A2010" s="29" t="s">
        <v>576</v>
      </c>
      <c r="B2010" s="30" t="s">
        <v>4725</v>
      </c>
    </row>
    <row r="2011" spans="1:2" x14ac:dyDescent="0.25">
      <c r="A2011" s="29" t="s">
        <v>4726</v>
      </c>
      <c r="B2011" s="30" t="s">
        <v>4727</v>
      </c>
    </row>
    <row r="2012" spans="1:2" x14ac:dyDescent="0.25">
      <c r="A2012" s="29" t="s">
        <v>4728</v>
      </c>
      <c r="B2012" s="30" t="s">
        <v>4729</v>
      </c>
    </row>
    <row r="2013" spans="1:2" x14ac:dyDescent="0.25">
      <c r="A2013" s="29" t="s">
        <v>4730</v>
      </c>
      <c r="B2013" s="30" t="s">
        <v>4731</v>
      </c>
    </row>
    <row r="2014" spans="1:2" x14ac:dyDescent="0.25">
      <c r="A2014" s="29" t="s">
        <v>4732</v>
      </c>
      <c r="B2014" s="30" t="s">
        <v>4733</v>
      </c>
    </row>
    <row r="2015" spans="1:2" x14ac:dyDescent="0.25">
      <c r="A2015" s="29" t="s">
        <v>84</v>
      </c>
      <c r="B2015" s="30" t="s">
        <v>4734</v>
      </c>
    </row>
    <row r="2016" spans="1:2" x14ac:dyDescent="0.25">
      <c r="A2016" s="29" t="s">
        <v>4735</v>
      </c>
      <c r="B2016" s="30" t="s">
        <v>4736</v>
      </c>
    </row>
    <row r="2017" spans="1:2" x14ac:dyDescent="0.25">
      <c r="A2017" s="27" t="s">
        <v>4737</v>
      </c>
      <c r="B2017" s="27" t="s">
        <v>4738</v>
      </c>
    </row>
    <row r="2018" spans="1:2" x14ac:dyDescent="0.25">
      <c r="A2018" s="27" t="s">
        <v>4739</v>
      </c>
      <c r="B2018" s="27" t="s">
        <v>4740</v>
      </c>
    </row>
    <row r="2019" spans="1:2" x14ac:dyDescent="0.25">
      <c r="A2019" s="27" t="s">
        <v>4741</v>
      </c>
      <c r="B2019" s="27" t="s">
        <v>4742</v>
      </c>
    </row>
    <row r="2020" spans="1:2" x14ac:dyDescent="0.25">
      <c r="A2020" s="27" t="s">
        <v>4743</v>
      </c>
      <c r="B2020" s="27" t="s">
        <v>4744</v>
      </c>
    </row>
    <row r="2021" spans="1:2" x14ac:dyDescent="0.25">
      <c r="A2021" s="27" t="s">
        <v>4745</v>
      </c>
      <c r="B2021" s="27" t="s">
        <v>4746</v>
      </c>
    </row>
    <row r="2022" spans="1:2" x14ac:dyDescent="0.25">
      <c r="A2022" s="27" t="s">
        <v>4747</v>
      </c>
      <c r="B2022" s="27" t="s">
        <v>4748</v>
      </c>
    </row>
    <row r="2023" spans="1:2" x14ac:dyDescent="0.25">
      <c r="A2023" s="27" t="s">
        <v>4749</v>
      </c>
      <c r="B2023" s="27" t="s">
        <v>4750</v>
      </c>
    </row>
    <row r="2024" spans="1:2" x14ac:dyDescent="0.25">
      <c r="A2024" s="27" t="s">
        <v>4751</v>
      </c>
      <c r="B2024" s="27" t="s">
        <v>4752</v>
      </c>
    </row>
    <row r="2025" spans="1:2" x14ac:dyDescent="0.25">
      <c r="A2025" s="27" t="s">
        <v>4753</v>
      </c>
      <c r="B2025" s="27" t="s">
        <v>4754</v>
      </c>
    </row>
    <row r="2026" spans="1:2" x14ac:dyDescent="0.25">
      <c r="A2026" s="27" t="s">
        <v>4755</v>
      </c>
      <c r="B2026" s="27" t="s">
        <v>4756</v>
      </c>
    </row>
    <row r="2027" spans="1:2" x14ac:dyDescent="0.25">
      <c r="A2027" s="27" t="s">
        <v>4757</v>
      </c>
      <c r="B2027" s="27" t="s">
        <v>4758</v>
      </c>
    </row>
    <row r="2028" spans="1:2" x14ac:dyDescent="0.25">
      <c r="A2028" s="27" t="s">
        <v>4759</v>
      </c>
      <c r="B2028" s="27" t="s">
        <v>4760</v>
      </c>
    </row>
    <row r="2029" spans="1:2" x14ac:dyDescent="0.25">
      <c r="A2029" s="27" t="s">
        <v>4761</v>
      </c>
      <c r="B2029" s="27" t="s">
        <v>4762</v>
      </c>
    </row>
    <row r="2030" spans="1:2" x14ac:dyDescent="0.25">
      <c r="A2030" s="27" t="s">
        <v>4763</v>
      </c>
      <c r="B2030" s="27" t="s">
        <v>4764</v>
      </c>
    </row>
    <row r="2031" spans="1:2" x14ac:dyDescent="0.25">
      <c r="A2031" s="27" t="s">
        <v>4765</v>
      </c>
      <c r="B2031" s="27" t="s">
        <v>4766</v>
      </c>
    </row>
    <row r="2032" spans="1:2" x14ac:dyDescent="0.25">
      <c r="A2032" s="27" t="s">
        <v>4767</v>
      </c>
      <c r="B2032" s="27" t="s">
        <v>4768</v>
      </c>
    </row>
    <row r="2033" spans="1:2" x14ac:dyDescent="0.25">
      <c r="A2033" s="27" t="s">
        <v>4769</v>
      </c>
      <c r="B2033" s="27" t="s">
        <v>4770</v>
      </c>
    </row>
    <row r="2034" spans="1:2" x14ac:dyDescent="0.25">
      <c r="A2034" s="27" t="s">
        <v>4771</v>
      </c>
      <c r="B2034" s="27" t="s">
        <v>4772</v>
      </c>
    </row>
    <row r="2035" spans="1:2" x14ac:dyDescent="0.25">
      <c r="A2035" s="27" t="s">
        <v>4773</v>
      </c>
      <c r="B2035" s="27" t="s">
        <v>4774</v>
      </c>
    </row>
    <row r="2036" spans="1:2" x14ac:dyDescent="0.25">
      <c r="A2036" s="27" t="s">
        <v>4775</v>
      </c>
      <c r="B2036" s="27" t="s">
        <v>4776</v>
      </c>
    </row>
    <row r="2037" spans="1:2" x14ac:dyDescent="0.25">
      <c r="A2037" s="27" t="s">
        <v>4777</v>
      </c>
      <c r="B2037" s="27" t="s">
        <v>4778</v>
      </c>
    </row>
    <row r="2038" spans="1:2" x14ac:dyDescent="0.25">
      <c r="A2038" s="27" t="s">
        <v>4779</v>
      </c>
      <c r="B2038" s="27" t="s">
        <v>4780</v>
      </c>
    </row>
    <row r="2039" spans="1:2" x14ac:dyDescent="0.25">
      <c r="A2039" s="27" t="s">
        <v>4781</v>
      </c>
      <c r="B2039" s="27" t="s">
        <v>4782</v>
      </c>
    </row>
    <row r="2040" spans="1:2" x14ac:dyDescent="0.25">
      <c r="A2040" s="27" t="s">
        <v>4783</v>
      </c>
      <c r="B2040" s="27" t="s">
        <v>4784</v>
      </c>
    </row>
    <row r="2041" spans="1:2" x14ac:dyDescent="0.25">
      <c r="A2041" s="27" t="s">
        <v>4785</v>
      </c>
      <c r="B2041" s="27" t="s">
        <v>4786</v>
      </c>
    </row>
    <row r="2042" spans="1:2" x14ac:dyDescent="0.25">
      <c r="A2042" s="27" t="s">
        <v>4787</v>
      </c>
      <c r="B2042" s="27" t="s">
        <v>4788</v>
      </c>
    </row>
    <row r="2043" spans="1:2" x14ac:dyDescent="0.25">
      <c r="A2043" s="27" t="s">
        <v>4789</v>
      </c>
      <c r="B2043" s="27" t="s">
        <v>4790</v>
      </c>
    </row>
    <row r="2044" spans="1:2" x14ac:dyDescent="0.25">
      <c r="A2044" s="27" t="s">
        <v>4791</v>
      </c>
      <c r="B2044" s="27" t="s">
        <v>4792</v>
      </c>
    </row>
    <row r="2045" spans="1:2" x14ac:dyDescent="0.25">
      <c r="A2045" s="27" t="s">
        <v>4793</v>
      </c>
      <c r="B2045" s="27" t="s">
        <v>4794</v>
      </c>
    </row>
    <row r="2046" spans="1:2" x14ac:dyDescent="0.25">
      <c r="A2046" s="27" t="s">
        <v>4795</v>
      </c>
      <c r="B2046" s="27" t="s">
        <v>4796</v>
      </c>
    </row>
    <row r="2047" spans="1:2" x14ac:dyDescent="0.25">
      <c r="A2047" s="27" t="s">
        <v>4797</v>
      </c>
      <c r="B2047" s="27" t="s">
        <v>4798</v>
      </c>
    </row>
    <row r="2048" spans="1:2" x14ac:dyDescent="0.25">
      <c r="A2048" s="27" t="s">
        <v>4799</v>
      </c>
      <c r="B2048" s="27" t="s">
        <v>4800</v>
      </c>
    </row>
    <row r="2049" spans="1:2" x14ac:dyDescent="0.25">
      <c r="A2049" s="27" t="s">
        <v>4801</v>
      </c>
      <c r="B2049" s="27" t="s">
        <v>4802</v>
      </c>
    </row>
    <row r="2050" spans="1:2" x14ac:dyDescent="0.25">
      <c r="A2050" s="27" t="s">
        <v>4803</v>
      </c>
      <c r="B2050" s="27" t="s">
        <v>4804</v>
      </c>
    </row>
    <row r="2051" spans="1:2" x14ac:dyDescent="0.25">
      <c r="A2051" s="27" t="s">
        <v>4805</v>
      </c>
      <c r="B2051" s="27" t="s">
        <v>4806</v>
      </c>
    </row>
    <row r="2052" spans="1:2" x14ac:dyDescent="0.25">
      <c r="A2052" s="27" t="s">
        <v>4807</v>
      </c>
      <c r="B2052" s="27" t="s">
        <v>4808</v>
      </c>
    </row>
    <row r="2053" spans="1:2" x14ac:dyDescent="0.25">
      <c r="A2053" s="27" t="s">
        <v>4809</v>
      </c>
      <c r="B2053" s="27" t="s">
        <v>4810</v>
      </c>
    </row>
    <row r="2054" spans="1:2" x14ac:dyDescent="0.25">
      <c r="A2054" s="27" t="s">
        <v>4811</v>
      </c>
      <c r="B2054" s="27" t="s">
        <v>4812</v>
      </c>
    </row>
    <row r="2055" spans="1:2" x14ac:dyDescent="0.25">
      <c r="A2055" s="27" t="s">
        <v>4813</v>
      </c>
      <c r="B2055" s="27" t="s">
        <v>4814</v>
      </c>
    </row>
    <row r="2056" spans="1:2" x14ac:dyDescent="0.25">
      <c r="A2056" s="27" t="s">
        <v>4815</v>
      </c>
      <c r="B2056" s="27" t="s">
        <v>4816</v>
      </c>
    </row>
    <row r="2057" spans="1:2" x14ac:dyDescent="0.25">
      <c r="A2057" s="27" t="s">
        <v>4817</v>
      </c>
      <c r="B2057" s="27" t="s">
        <v>4818</v>
      </c>
    </row>
    <row r="2058" spans="1:2" x14ac:dyDescent="0.25">
      <c r="A2058" s="27" t="s">
        <v>4819</v>
      </c>
      <c r="B2058" s="27" t="s">
        <v>4820</v>
      </c>
    </row>
    <row r="2059" spans="1:2" x14ac:dyDescent="0.25">
      <c r="A2059" s="27" t="s">
        <v>4821</v>
      </c>
      <c r="B2059" s="27" t="s">
        <v>4822</v>
      </c>
    </row>
    <row r="2060" spans="1:2" x14ac:dyDescent="0.25">
      <c r="A2060" s="27" t="s">
        <v>4823</v>
      </c>
      <c r="B2060" s="27" t="s">
        <v>4824</v>
      </c>
    </row>
    <row r="2061" spans="1:2" x14ac:dyDescent="0.25">
      <c r="A2061" s="27" t="s">
        <v>4825</v>
      </c>
      <c r="B2061" s="27" t="s">
        <v>4826</v>
      </c>
    </row>
    <row r="2062" spans="1:2" x14ac:dyDescent="0.25">
      <c r="A2062" s="27" t="s">
        <v>4827</v>
      </c>
      <c r="B2062" s="27" t="s">
        <v>4828</v>
      </c>
    </row>
    <row r="2063" spans="1:2" x14ac:dyDescent="0.25">
      <c r="A2063" s="27" t="s">
        <v>4829</v>
      </c>
      <c r="B2063" s="27" t="s">
        <v>4830</v>
      </c>
    </row>
    <row r="2064" spans="1:2" x14ac:dyDescent="0.25">
      <c r="A2064" s="27" t="s">
        <v>4831</v>
      </c>
      <c r="B2064" s="27" t="s">
        <v>4832</v>
      </c>
    </row>
    <row r="2065" spans="1:2" x14ac:dyDescent="0.25">
      <c r="A2065" s="27" t="s">
        <v>4833</v>
      </c>
      <c r="B2065" s="27" t="s">
        <v>4834</v>
      </c>
    </row>
    <row r="2066" spans="1:2" x14ac:dyDescent="0.25">
      <c r="A2066" s="27" t="s">
        <v>4835</v>
      </c>
      <c r="B2066" s="27" t="s">
        <v>4836</v>
      </c>
    </row>
    <row r="2067" spans="1:2" x14ac:dyDescent="0.25">
      <c r="A2067" s="27" t="s">
        <v>4837</v>
      </c>
      <c r="B2067" s="27" t="s">
        <v>4838</v>
      </c>
    </row>
    <row r="2068" spans="1:2" x14ac:dyDescent="0.25">
      <c r="A2068" s="27" t="s">
        <v>4839</v>
      </c>
      <c r="B2068" s="27" t="s">
        <v>4840</v>
      </c>
    </row>
    <row r="2069" spans="1:2" x14ac:dyDescent="0.25">
      <c r="A2069" s="27" t="s">
        <v>4841</v>
      </c>
      <c r="B2069" s="27" t="s">
        <v>4842</v>
      </c>
    </row>
    <row r="2070" spans="1:2" x14ac:dyDescent="0.25">
      <c r="A2070" s="27" t="s">
        <v>4843</v>
      </c>
      <c r="B2070" s="27" t="s">
        <v>4844</v>
      </c>
    </row>
    <row r="2071" spans="1:2" x14ac:dyDescent="0.25">
      <c r="A2071" s="27" t="s">
        <v>4845</v>
      </c>
      <c r="B2071" s="27" t="s">
        <v>4846</v>
      </c>
    </row>
    <row r="2072" spans="1:2" x14ac:dyDescent="0.25">
      <c r="A2072" s="27" t="s">
        <v>4847</v>
      </c>
      <c r="B2072" s="27" t="s">
        <v>4848</v>
      </c>
    </row>
    <row r="2073" spans="1:2" x14ac:dyDescent="0.25">
      <c r="A2073" s="27" t="s">
        <v>4849</v>
      </c>
      <c r="B2073" s="27" t="s">
        <v>4850</v>
      </c>
    </row>
    <row r="2074" spans="1:2" x14ac:dyDescent="0.25">
      <c r="A2074" s="27" t="s">
        <v>4851</v>
      </c>
      <c r="B2074" s="27" t="s">
        <v>4852</v>
      </c>
    </row>
    <row r="2075" spans="1:2" x14ac:dyDescent="0.25">
      <c r="A2075" s="27" t="s">
        <v>4853</v>
      </c>
      <c r="B2075" s="27" t="s">
        <v>4854</v>
      </c>
    </row>
    <row r="2076" spans="1:2" x14ac:dyDescent="0.25">
      <c r="A2076" s="27" t="s">
        <v>4855</v>
      </c>
      <c r="B2076" s="27" t="s">
        <v>4856</v>
      </c>
    </row>
    <row r="2077" spans="1:2" x14ac:dyDescent="0.25">
      <c r="A2077" s="27" t="s">
        <v>4857</v>
      </c>
      <c r="B2077" s="27" t="s">
        <v>4858</v>
      </c>
    </row>
    <row r="2078" spans="1:2" x14ac:dyDescent="0.25">
      <c r="A2078" s="27" t="s">
        <v>4859</v>
      </c>
      <c r="B2078" s="27" t="s">
        <v>4860</v>
      </c>
    </row>
    <row r="2079" spans="1:2" x14ac:dyDescent="0.25">
      <c r="A2079" s="27" t="s">
        <v>4861</v>
      </c>
      <c r="B2079" s="27" t="s">
        <v>4862</v>
      </c>
    </row>
    <row r="2080" spans="1:2" x14ac:dyDescent="0.25">
      <c r="A2080" s="27" t="s">
        <v>4863</v>
      </c>
      <c r="B2080" s="27" t="s">
        <v>4864</v>
      </c>
    </row>
    <row r="2081" spans="1:2" x14ac:dyDescent="0.25">
      <c r="A2081" s="27" t="s">
        <v>4865</v>
      </c>
      <c r="B2081" s="27" t="s">
        <v>4866</v>
      </c>
    </row>
    <row r="2082" spans="1:2" x14ac:dyDescent="0.25">
      <c r="A2082" s="27" t="s">
        <v>4867</v>
      </c>
      <c r="B2082" s="27" t="s">
        <v>4868</v>
      </c>
    </row>
    <row r="2083" spans="1:2" x14ac:dyDescent="0.25">
      <c r="A2083" s="27" t="s">
        <v>4869</v>
      </c>
      <c r="B2083" s="27" t="s">
        <v>4870</v>
      </c>
    </row>
    <row r="2084" spans="1:2" x14ac:dyDescent="0.25">
      <c r="A2084" s="27" t="s">
        <v>4871</v>
      </c>
      <c r="B2084" s="27" t="s">
        <v>4872</v>
      </c>
    </row>
    <row r="2085" spans="1:2" x14ac:dyDescent="0.25">
      <c r="A2085" s="27" t="s">
        <v>4873</v>
      </c>
      <c r="B2085" s="27" t="s">
        <v>4874</v>
      </c>
    </row>
    <row r="2086" spans="1:2" x14ac:dyDescent="0.25">
      <c r="A2086" s="27" t="s">
        <v>4875</v>
      </c>
      <c r="B2086" s="27" t="s">
        <v>4876</v>
      </c>
    </row>
    <row r="2087" spans="1:2" x14ac:dyDescent="0.25">
      <c r="A2087" s="27" t="s">
        <v>4877</v>
      </c>
      <c r="B2087" s="27" t="s">
        <v>4878</v>
      </c>
    </row>
    <row r="2088" spans="1:2" x14ac:dyDescent="0.25">
      <c r="A2088" s="27" t="s">
        <v>4879</v>
      </c>
      <c r="B2088" s="27" t="s">
        <v>4880</v>
      </c>
    </row>
    <row r="2089" spans="1:2" x14ac:dyDescent="0.25">
      <c r="A2089" s="27" t="s">
        <v>196</v>
      </c>
      <c r="B2089" s="27" t="s">
        <v>4881</v>
      </c>
    </row>
    <row r="2090" spans="1:2" x14ac:dyDescent="0.25">
      <c r="A2090" s="27" t="s">
        <v>4882</v>
      </c>
      <c r="B2090" s="27" t="s">
        <v>4883</v>
      </c>
    </row>
    <row r="2091" spans="1:2" x14ac:dyDescent="0.25">
      <c r="A2091" s="27" t="s">
        <v>4884</v>
      </c>
      <c r="B2091" s="27" t="s">
        <v>4885</v>
      </c>
    </row>
    <row r="2092" spans="1:2" x14ac:dyDescent="0.25">
      <c r="A2092" s="27" t="s">
        <v>227</v>
      </c>
      <c r="B2092" s="27" t="s">
        <v>4886</v>
      </c>
    </row>
    <row r="2093" spans="1:2" x14ac:dyDescent="0.25">
      <c r="A2093" s="27" t="s">
        <v>4887</v>
      </c>
      <c r="B2093" s="27" t="s">
        <v>4888</v>
      </c>
    </row>
    <row r="2094" spans="1:2" x14ac:dyDescent="0.25">
      <c r="A2094" s="27" t="s">
        <v>186</v>
      </c>
      <c r="B2094" s="27" t="s">
        <v>4889</v>
      </c>
    </row>
    <row r="2095" spans="1:2" x14ac:dyDescent="0.25">
      <c r="A2095" s="27" t="s">
        <v>4890</v>
      </c>
      <c r="B2095" s="27" t="s">
        <v>4891</v>
      </c>
    </row>
    <row r="2096" spans="1:2" x14ac:dyDescent="0.25">
      <c r="A2096" s="27" t="s">
        <v>4892</v>
      </c>
      <c r="B2096" s="27" t="s">
        <v>4893</v>
      </c>
    </row>
    <row r="2097" spans="1:2" x14ac:dyDescent="0.25">
      <c r="A2097" s="27" t="s">
        <v>4894</v>
      </c>
      <c r="B2097" s="27" t="s">
        <v>4895</v>
      </c>
    </row>
    <row r="2098" spans="1:2" x14ac:dyDescent="0.25">
      <c r="A2098" s="27" t="s">
        <v>4896</v>
      </c>
      <c r="B2098" s="27" t="s">
        <v>4897</v>
      </c>
    </row>
    <row r="2099" spans="1:2" x14ac:dyDescent="0.25">
      <c r="A2099" s="27" t="s">
        <v>4898</v>
      </c>
      <c r="B2099" s="27" t="s">
        <v>4899</v>
      </c>
    </row>
    <row r="2100" spans="1:2" x14ac:dyDescent="0.25">
      <c r="A2100" s="27" t="s">
        <v>4900</v>
      </c>
      <c r="B2100" s="27" t="s">
        <v>4901</v>
      </c>
    </row>
    <row r="2101" spans="1:2" x14ac:dyDescent="0.25">
      <c r="A2101" s="27" t="s">
        <v>4902</v>
      </c>
      <c r="B2101" s="27" t="s">
        <v>4903</v>
      </c>
    </row>
    <row r="2102" spans="1:2" x14ac:dyDescent="0.25">
      <c r="A2102" s="27" t="s">
        <v>4904</v>
      </c>
      <c r="B2102" s="27" t="s">
        <v>4905</v>
      </c>
    </row>
    <row r="2103" spans="1:2" x14ac:dyDescent="0.25">
      <c r="A2103" s="27" t="s">
        <v>686</v>
      </c>
      <c r="B2103" s="27" t="s">
        <v>4906</v>
      </c>
    </row>
    <row r="2104" spans="1:2" x14ac:dyDescent="0.25">
      <c r="A2104" s="27" t="s">
        <v>4907</v>
      </c>
      <c r="B2104" s="27" t="s">
        <v>4908</v>
      </c>
    </row>
    <row r="2105" spans="1:2" x14ac:dyDescent="0.25">
      <c r="A2105" s="27" t="s">
        <v>4909</v>
      </c>
      <c r="B2105" s="27" t="s">
        <v>4910</v>
      </c>
    </row>
    <row r="2106" spans="1:2" x14ac:dyDescent="0.25">
      <c r="A2106" s="27" t="s">
        <v>4911</v>
      </c>
      <c r="B2106" s="27" t="s">
        <v>4912</v>
      </c>
    </row>
    <row r="2107" spans="1:2" x14ac:dyDescent="0.25">
      <c r="A2107" s="27" t="s">
        <v>4913</v>
      </c>
      <c r="B2107" s="27" t="s">
        <v>4914</v>
      </c>
    </row>
    <row r="2108" spans="1:2" x14ac:dyDescent="0.25">
      <c r="A2108" s="27" t="s">
        <v>4915</v>
      </c>
      <c r="B2108" s="27" t="s">
        <v>4916</v>
      </c>
    </row>
    <row r="2109" spans="1:2" x14ac:dyDescent="0.25">
      <c r="A2109" s="27" t="s">
        <v>4917</v>
      </c>
      <c r="B2109" s="27" t="s">
        <v>4918</v>
      </c>
    </row>
    <row r="2110" spans="1:2" x14ac:dyDescent="0.25">
      <c r="A2110" s="27" t="s">
        <v>4919</v>
      </c>
      <c r="B2110" s="27" t="s">
        <v>4920</v>
      </c>
    </row>
    <row r="2111" spans="1:2" x14ac:dyDescent="0.25">
      <c r="A2111" s="27" t="s">
        <v>4921</v>
      </c>
      <c r="B2111" s="27" t="s">
        <v>4922</v>
      </c>
    </row>
    <row r="2112" spans="1:2" x14ac:dyDescent="0.25">
      <c r="A2112" s="27" t="s">
        <v>4923</v>
      </c>
      <c r="B2112" s="27" t="s">
        <v>4924</v>
      </c>
    </row>
    <row r="2113" spans="1:2" x14ac:dyDescent="0.25">
      <c r="A2113" s="27" t="s">
        <v>4925</v>
      </c>
      <c r="B2113" s="27" t="s">
        <v>4926</v>
      </c>
    </row>
    <row r="2114" spans="1:2" x14ac:dyDescent="0.25">
      <c r="A2114" s="27" t="s">
        <v>4927</v>
      </c>
      <c r="B2114" s="27" t="s">
        <v>4928</v>
      </c>
    </row>
    <row r="2115" spans="1:2" x14ac:dyDescent="0.25">
      <c r="A2115" s="27" t="s">
        <v>1476</v>
      </c>
      <c r="B2115" s="27" t="s">
        <v>4929</v>
      </c>
    </row>
    <row r="2116" spans="1:2" x14ac:dyDescent="0.25">
      <c r="A2116" s="27" t="s">
        <v>2416</v>
      </c>
      <c r="B2116" s="27" t="s">
        <v>4930</v>
      </c>
    </row>
    <row r="2117" spans="1:2" x14ac:dyDescent="0.25">
      <c r="A2117" s="27" t="s">
        <v>4931</v>
      </c>
      <c r="B2117" s="27" t="s">
        <v>4932</v>
      </c>
    </row>
    <row r="2118" spans="1:2" x14ac:dyDescent="0.25">
      <c r="A2118" s="27" t="s">
        <v>1596</v>
      </c>
      <c r="B2118" s="27" t="s">
        <v>4933</v>
      </c>
    </row>
    <row r="2119" spans="1:2" x14ac:dyDescent="0.25">
      <c r="A2119" s="27" t="s">
        <v>2039</v>
      </c>
      <c r="B2119" s="27" t="s">
        <v>4934</v>
      </c>
    </row>
    <row r="2120" spans="1:2" x14ac:dyDescent="0.25">
      <c r="A2120" s="27" t="s">
        <v>4935</v>
      </c>
      <c r="B2120" s="3"/>
    </row>
    <row r="2121" spans="1:2" x14ac:dyDescent="0.25">
      <c r="A2121" s="27" t="s">
        <v>4936</v>
      </c>
      <c r="B2121" s="3"/>
    </row>
    <row r="2122" spans="1:2" x14ac:dyDescent="0.25">
      <c r="A2122" s="27" t="s">
        <v>513</v>
      </c>
      <c r="B2122" s="27" t="s">
        <v>4937</v>
      </c>
    </row>
    <row r="2123" spans="1:2" x14ac:dyDescent="0.25">
      <c r="A2123" s="27" t="s">
        <v>4659</v>
      </c>
      <c r="B2123" s="3"/>
    </row>
    <row r="2124" spans="1:2" x14ac:dyDescent="0.25">
      <c r="A2124" s="27" t="s">
        <v>389</v>
      </c>
      <c r="B2124" s="27" t="s">
        <v>4724</v>
      </c>
    </row>
    <row r="2125" spans="1:2" x14ac:dyDescent="0.25">
      <c r="A2125" s="3"/>
      <c r="B2125" s="3"/>
    </row>
    <row r="2126" spans="1:2" x14ac:dyDescent="0.25">
      <c r="A2126" s="27" t="s">
        <v>4722</v>
      </c>
      <c r="B2126" s="27" t="s">
        <v>4723</v>
      </c>
    </row>
    <row r="2127" spans="1:2" x14ac:dyDescent="0.25">
      <c r="A2127" s="3"/>
      <c r="B2127" s="3"/>
    </row>
    <row r="2128" spans="1:2" x14ac:dyDescent="0.25">
      <c r="A2128" s="27" t="s">
        <v>4720</v>
      </c>
      <c r="B2128" s="27" t="s">
        <v>4721</v>
      </c>
    </row>
    <row r="2129" spans="1:2" x14ac:dyDescent="0.25">
      <c r="A2129" s="3"/>
      <c r="B2129" s="3"/>
    </row>
    <row r="2130" spans="1:2" x14ac:dyDescent="0.25">
      <c r="A2130" s="27" t="s">
        <v>84</v>
      </c>
      <c r="B2130" s="27" t="s">
        <v>4734</v>
      </c>
    </row>
    <row r="2131" spans="1:2" x14ac:dyDescent="0.25">
      <c r="A2131" s="27" t="s">
        <v>1034</v>
      </c>
      <c r="B2131" s="27" t="s">
        <v>1035</v>
      </c>
    </row>
    <row r="2132" spans="1:2" x14ac:dyDescent="0.25">
      <c r="A2132" s="27" t="s">
        <v>1104</v>
      </c>
      <c r="B2132" s="27" t="s">
        <v>1105</v>
      </c>
    </row>
    <row r="2133" spans="1:2" x14ac:dyDescent="0.25">
      <c r="A2133" s="27" t="s">
        <v>1228</v>
      </c>
      <c r="B2133" s="27" t="s">
        <v>1229</v>
      </c>
    </row>
    <row r="2134" spans="1:2" x14ac:dyDescent="0.25">
      <c r="A2134" s="27" t="s">
        <v>1228</v>
      </c>
      <c r="B2134" s="27" t="s">
        <v>1229</v>
      </c>
    </row>
    <row r="2135" spans="1:2" x14ac:dyDescent="0.25">
      <c r="A2135" s="27" t="s">
        <v>1138</v>
      </c>
      <c r="B2135" s="3"/>
    </row>
    <row r="2136" spans="1:2" x14ac:dyDescent="0.25">
      <c r="A2136" s="27" t="s">
        <v>4938</v>
      </c>
      <c r="B2136" s="27" t="s">
        <v>4939</v>
      </c>
    </row>
    <row r="2137" spans="1:2" x14ac:dyDescent="0.25">
      <c r="A2137" s="27" t="s">
        <v>4940</v>
      </c>
      <c r="B2137" s="27" t="s">
        <v>4941</v>
      </c>
    </row>
    <row r="2138" spans="1:2" x14ac:dyDescent="0.25">
      <c r="A2138" s="27" t="s">
        <v>4942</v>
      </c>
      <c r="B2138" s="27" t="s">
        <v>4943</v>
      </c>
    </row>
    <row r="2139" spans="1:2" x14ac:dyDescent="0.25">
      <c r="A2139" s="27" t="s">
        <v>4944</v>
      </c>
      <c r="B2139" s="27" t="s">
        <v>4945</v>
      </c>
    </row>
    <row r="2140" spans="1:2" x14ac:dyDescent="0.25">
      <c r="A2140" s="27" t="s">
        <v>4946</v>
      </c>
      <c r="B2140" s="3"/>
    </row>
    <row r="2141" spans="1:2" x14ac:dyDescent="0.25">
      <c r="A2141" s="27" t="s">
        <v>532</v>
      </c>
      <c r="B2141" s="3"/>
    </row>
    <row r="2142" spans="1:2" x14ac:dyDescent="0.25">
      <c r="A2142" s="27" t="s">
        <v>4642</v>
      </c>
      <c r="B2142" s="27" t="s">
        <v>4643</v>
      </c>
    </row>
    <row r="2143" spans="1:2" x14ac:dyDescent="0.25">
      <c r="A2143" s="27" t="s">
        <v>4947</v>
      </c>
      <c r="B2143" s="3"/>
    </row>
    <row r="2144" spans="1:2" x14ac:dyDescent="0.25">
      <c r="A2144" s="27" t="s">
        <v>4948</v>
      </c>
      <c r="B2144" s="3"/>
    </row>
    <row r="2145" spans="1:2" x14ac:dyDescent="0.25">
      <c r="A2145" s="3"/>
      <c r="B2145" s="3"/>
    </row>
    <row r="2146" spans="1:2" x14ac:dyDescent="0.25">
      <c r="A2146" s="27" t="s">
        <v>4650</v>
      </c>
      <c r="B2146" s="27" t="s">
        <v>4651</v>
      </c>
    </row>
    <row r="2147" spans="1:2" x14ac:dyDescent="0.25">
      <c r="A2147" s="3"/>
      <c r="B2147" s="3"/>
    </row>
    <row r="2148" spans="1:2" x14ac:dyDescent="0.25">
      <c r="A2148" s="27" t="s">
        <v>4949</v>
      </c>
      <c r="B2148" s="3"/>
    </row>
    <row r="2149" spans="1:2" x14ac:dyDescent="0.25">
      <c r="A2149" s="27" t="s">
        <v>4950</v>
      </c>
      <c r="B2149" s="3"/>
    </row>
    <row r="2150" spans="1:2" x14ac:dyDescent="0.25">
      <c r="A2150" s="27" t="s">
        <v>4951</v>
      </c>
      <c r="B2150" s="3"/>
    </row>
    <row r="2151" spans="1:2" x14ac:dyDescent="0.25">
      <c r="A2151" s="27" t="s">
        <v>513</v>
      </c>
      <c r="B2151" s="3"/>
    </row>
    <row r="2152" spans="1:2" x14ac:dyDescent="0.25">
      <c r="A2152" s="27" t="s">
        <v>2416</v>
      </c>
      <c r="B2152" s="3"/>
    </row>
    <row r="2153" spans="1:2" x14ac:dyDescent="0.25">
      <c r="A2153" s="27" t="s">
        <v>4952</v>
      </c>
      <c r="B2153" s="3"/>
    </row>
    <row r="2154" spans="1:2" x14ac:dyDescent="0.25">
      <c r="A2154" s="27" t="s">
        <v>4642</v>
      </c>
      <c r="B2154" s="3"/>
    </row>
    <row r="2155" spans="1:2" x14ac:dyDescent="0.25">
      <c r="A2155" s="27" t="s">
        <v>4650</v>
      </c>
      <c r="B2155" s="3"/>
    </row>
    <row r="2156" spans="1:2" x14ac:dyDescent="0.25">
      <c r="A2156" s="3"/>
      <c r="B2156" s="3"/>
    </row>
    <row r="2157" spans="1:2" x14ac:dyDescent="0.25">
      <c r="A2157" s="27" t="s">
        <v>576</v>
      </c>
      <c r="B2157" s="27" t="s">
        <v>4725</v>
      </c>
    </row>
    <row r="2158" spans="1:2" x14ac:dyDescent="0.25">
      <c r="A2158" s="27" t="s">
        <v>2041</v>
      </c>
      <c r="B2158" s="27" t="s">
        <v>4953</v>
      </c>
    </row>
    <row r="2159" spans="1:2" x14ac:dyDescent="0.25">
      <c r="A2159" s="27" t="s">
        <v>2268</v>
      </c>
      <c r="B2159" s="27" t="s">
        <v>4954</v>
      </c>
    </row>
    <row r="2160" spans="1:2" x14ac:dyDescent="0.25">
      <c r="A2160" s="27" t="s">
        <v>1333</v>
      </c>
      <c r="B2160" s="27" t="s">
        <v>1334</v>
      </c>
    </row>
    <row r="2161" spans="1:2" x14ac:dyDescent="0.25">
      <c r="A2161" s="27" t="s">
        <v>1460</v>
      </c>
      <c r="B2161" s="27" t="s">
        <v>1461</v>
      </c>
    </row>
    <row r="2162" spans="1:2" x14ac:dyDescent="0.25">
      <c r="A2162" s="27" t="s">
        <v>475</v>
      </c>
      <c r="B2162" s="27" t="s">
        <v>4709</v>
      </c>
    </row>
    <row r="2163" spans="1:2" x14ac:dyDescent="0.25">
      <c r="A2163" s="27" t="s">
        <v>81</v>
      </c>
      <c r="B2163" s="27" t="s">
        <v>4955</v>
      </c>
    </row>
    <row r="2164" spans="1:2" x14ac:dyDescent="0.25">
      <c r="A2164" s="27" t="s">
        <v>4956</v>
      </c>
      <c r="B2164" s="27" t="s">
        <v>4957</v>
      </c>
    </row>
    <row r="2165" spans="1:2" x14ac:dyDescent="0.25">
      <c r="A2165" s="27" t="s">
        <v>4958</v>
      </c>
      <c r="B2165" s="27" t="s">
        <v>4959</v>
      </c>
    </row>
    <row r="2166" spans="1:2" x14ac:dyDescent="0.25">
      <c r="A2166" s="27" t="s">
        <v>4960</v>
      </c>
      <c r="B2166" s="27" t="s">
        <v>4961</v>
      </c>
    </row>
    <row r="2167" spans="1:2" x14ac:dyDescent="0.25">
      <c r="A2167" s="27" t="s">
        <v>87</v>
      </c>
      <c r="B2167" s="27" t="s">
        <v>4962</v>
      </c>
    </row>
    <row r="2168" spans="1:2" x14ac:dyDescent="0.25">
      <c r="A2168" s="27" t="s">
        <v>2402</v>
      </c>
      <c r="B2168" s="27" t="s">
        <v>2403</v>
      </c>
    </row>
    <row r="2169" spans="1:2" x14ac:dyDescent="0.25">
      <c r="A2169" s="27" t="s">
        <v>1296</v>
      </c>
      <c r="B2169" s="27" t="s">
        <v>4963</v>
      </c>
    </row>
    <row r="2170" spans="1:2" x14ac:dyDescent="0.25">
      <c r="A2170" s="27" t="s">
        <v>2478</v>
      </c>
      <c r="B2170" s="27" t="s">
        <v>2479</v>
      </c>
    </row>
    <row r="2171" spans="1:2" x14ac:dyDescent="0.25">
      <c r="A2171" s="27" t="s">
        <v>953</v>
      </c>
      <c r="B2171" s="27" t="s">
        <v>954</v>
      </c>
    </row>
    <row r="2172" spans="1:2" x14ac:dyDescent="0.25">
      <c r="A2172" s="27" t="s">
        <v>1625</v>
      </c>
      <c r="B2172" s="27" t="s">
        <v>1626</v>
      </c>
    </row>
    <row r="2173" spans="1:2" x14ac:dyDescent="0.25">
      <c r="A2173" s="27" t="s">
        <v>1775</v>
      </c>
      <c r="B2173" s="27" t="s">
        <v>4964</v>
      </c>
    </row>
    <row r="2174" spans="1:2" x14ac:dyDescent="0.25">
      <c r="A2174" s="27" t="s">
        <v>1184</v>
      </c>
      <c r="B2174" s="27" t="s">
        <v>1185</v>
      </c>
    </row>
    <row r="2175" spans="1:2" x14ac:dyDescent="0.25">
      <c r="A2175" s="27" t="s">
        <v>3206</v>
      </c>
      <c r="B2175" s="27" t="s">
        <v>3207</v>
      </c>
    </row>
    <row r="2176" spans="1:2" x14ac:dyDescent="0.25">
      <c r="A2176" s="27" t="s">
        <v>4965</v>
      </c>
      <c r="B2176" s="27" t="s">
        <v>3078</v>
      </c>
    </row>
    <row r="2177" spans="1:2" x14ac:dyDescent="0.25">
      <c r="A2177" s="27" t="s">
        <v>4966</v>
      </c>
      <c r="B2177" s="3"/>
    </row>
    <row r="2178" spans="1:2" x14ac:dyDescent="0.25">
      <c r="A2178" s="27" t="s">
        <v>2566</v>
      </c>
      <c r="B2178" s="27" t="s">
        <v>2567</v>
      </c>
    </row>
    <row r="2179" spans="1:2" x14ac:dyDescent="0.25">
      <c r="A2179" s="27" t="s">
        <v>1450</v>
      </c>
      <c r="B2179" s="27" t="s">
        <v>1451</v>
      </c>
    </row>
    <row r="2180" spans="1:2" x14ac:dyDescent="0.25">
      <c r="A2180" s="27" t="s">
        <v>2041</v>
      </c>
      <c r="B2180" s="3"/>
    </row>
    <row r="2181" spans="1:2" x14ac:dyDescent="0.25">
      <c r="A2181" s="27" t="s">
        <v>4967</v>
      </c>
      <c r="B2181" s="3"/>
    </row>
    <row r="2182" spans="1:2" x14ac:dyDescent="0.25">
      <c r="A2182" s="27" t="s">
        <v>475</v>
      </c>
      <c r="B2182" s="27" t="s">
        <v>4709</v>
      </c>
    </row>
    <row r="2183" spans="1:2" x14ac:dyDescent="0.25">
      <c r="A2183" s="27" t="s">
        <v>1201</v>
      </c>
      <c r="B2183" s="27" t="s">
        <v>1202</v>
      </c>
    </row>
    <row r="2184" spans="1:2" x14ac:dyDescent="0.25">
      <c r="A2184" s="27" t="s">
        <v>1542</v>
      </c>
      <c r="B2184" s="27" t="s">
        <v>1543</v>
      </c>
    </row>
    <row r="2185" spans="1:2" x14ac:dyDescent="0.25">
      <c r="A2185" s="27" t="s">
        <v>4960</v>
      </c>
      <c r="B2185" s="27" t="s">
        <v>4961</v>
      </c>
    </row>
    <row r="2186" spans="1:2" x14ac:dyDescent="0.25">
      <c r="A2186" s="27" t="s">
        <v>87</v>
      </c>
      <c r="B2186" s="3"/>
    </row>
    <row r="2187" spans="1:2" x14ac:dyDescent="0.25">
      <c r="A2187" s="27" t="s">
        <v>1538</v>
      </c>
      <c r="B2187" s="27" t="s">
        <v>1539</v>
      </c>
    </row>
    <row r="2188" spans="1:2" x14ac:dyDescent="0.25">
      <c r="A2188" s="27" t="s">
        <v>1771</v>
      </c>
      <c r="B2188" s="27" t="s">
        <v>4968</v>
      </c>
    </row>
    <row r="2189" spans="1:2" x14ac:dyDescent="0.25">
      <c r="A2189" s="27" t="s">
        <v>1434</v>
      </c>
      <c r="B2189" s="27" t="s">
        <v>4969</v>
      </c>
    </row>
    <row r="2190" spans="1:2" x14ac:dyDescent="0.25">
      <c r="A2190" s="27" t="s">
        <v>680</v>
      </c>
      <c r="B2190" s="27" t="s">
        <v>4970</v>
      </c>
    </row>
    <row r="2191" spans="1:2" x14ac:dyDescent="0.25">
      <c r="A2191" s="27" t="s">
        <v>985</v>
      </c>
      <c r="B2191" s="27" t="s">
        <v>4971</v>
      </c>
    </row>
    <row r="2192" spans="1:2" x14ac:dyDescent="0.25">
      <c r="A2192" s="27" t="s">
        <v>2184</v>
      </c>
      <c r="B2192" s="27" t="s">
        <v>4972</v>
      </c>
    </row>
    <row r="2193" spans="1:2" x14ac:dyDescent="0.25">
      <c r="A2193" s="27" t="s">
        <v>4705</v>
      </c>
      <c r="B2193" s="27" t="s">
        <v>4706</v>
      </c>
    </row>
    <row r="2194" spans="1:2" x14ac:dyDescent="0.25">
      <c r="A2194" s="27" t="s">
        <v>81</v>
      </c>
      <c r="B2194" s="3"/>
    </row>
    <row r="2195" spans="1:2" x14ac:dyDescent="0.25">
      <c r="A2195" s="27" t="s">
        <v>2402</v>
      </c>
      <c r="B2195" s="3"/>
    </row>
    <row r="2196" spans="1:2" x14ac:dyDescent="0.25">
      <c r="A2196" s="27" t="s">
        <v>4958</v>
      </c>
      <c r="B2196" s="3"/>
    </row>
    <row r="2197" spans="1:2" x14ac:dyDescent="0.25">
      <c r="A2197" s="27" t="s">
        <v>1296</v>
      </c>
      <c r="B2197" s="3"/>
    </row>
    <row r="2198" spans="1:2" x14ac:dyDescent="0.25">
      <c r="A2198" s="27" t="s">
        <v>2061</v>
      </c>
      <c r="B2198" s="3"/>
    </row>
    <row r="2199" spans="1:2" x14ac:dyDescent="0.25">
      <c r="A2199" s="27" t="s">
        <v>2268</v>
      </c>
      <c r="B2199" s="3"/>
    </row>
    <row r="2200" spans="1:2" x14ac:dyDescent="0.25">
      <c r="A2200" s="27" t="s">
        <v>1730</v>
      </c>
      <c r="B2200" s="3"/>
    </row>
    <row r="2201" spans="1:2" x14ac:dyDescent="0.25">
      <c r="A2201" s="27" t="s">
        <v>1318</v>
      </c>
      <c r="B2201" s="3"/>
    </row>
    <row r="2202" spans="1:2" x14ac:dyDescent="0.25">
      <c r="A2202" s="27" t="s">
        <v>949</v>
      </c>
      <c r="B2202" s="3"/>
    </row>
    <row r="2203" spans="1:2" x14ac:dyDescent="0.25">
      <c r="A2203" s="27" t="s">
        <v>1656</v>
      </c>
      <c r="B2203" s="3"/>
    </row>
    <row r="2204" spans="1:2" x14ac:dyDescent="0.25">
      <c r="A2204" s="27" t="s">
        <v>1278</v>
      </c>
      <c r="B2204" s="3"/>
    </row>
    <row r="2205" spans="1:2" x14ac:dyDescent="0.25">
      <c r="A2205" s="27" t="s">
        <v>1052</v>
      </c>
      <c r="B2205" s="3"/>
    </row>
    <row r="2206" spans="1:2" x14ac:dyDescent="0.25">
      <c r="A2206" s="27" t="s">
        <v>4973</v>
      </c>
      <c r="B2206" s="3"/>
    </row>
    <row r="2207" spans="1:2" x14ac:dyDescent="0.25">
      <c r="A2207" s="27" t="s">
        <v>576</v>
      </c>
      <c r="B2207" s="3"/>
    </row>
    <row r="2208" spans="1:2" x14ac:dyDescent="0.25">
      <c r="A2208" s="27" t="s">
        <v>87</v>
      </c>
      <c r="B2208" s="3"/>
    </row>
    <row r="2209" spans="1:2" x14ac:dyDescent="0.25">
      <c r="A2209" s="27" t="s">
        <v>4942</v>
      </c>
      <c r="B2209" s="3"/>
    </row>
    <row r="2210" spans="1:2" x14ac:dyDescent="0.25">
      <c r="A2210" s="27" t="s">
        <v>2408</v>
      </c>
      <c r="B2210" s="27" t="s">
        <v>2409</v>
      </c>
    </row>
    <row r="2211" spans="1:2" x14ac:dyDescent="0.25">
      <c r="A2211" s="27" t="s">
        <v>1396</v>
      </c>
      <c r="B2211" s="27" t="s">
        <v>1397</v>
      </c>
    </row>
    <row r="2212" spans="1:2" x14ac:dyDescent="0.25">
      <c r="A2212" s="27" t="s">
        <v>1250</v>
      </c>
      <c r="B2212" s="3"/>
    </row>
    <row r="2213" spans="1:2" x14ac:dyDescent="0.25">
      <c r="A2213" s="27" t="s">
        <v>4974</v>
      </c>
      <c r="B2213" s="3"/>
    </row>
    <row r="2214" spans="1:2" x14ac:dyDescent="0.25">
      <c r="A2214" s="27" t="s">
        <v>4975</v>
      </c>
      <c r="B2214" s="3"/>
    </row>
    <row r="2215" spans="1:2" x14ac:dyDescent="0.25">
      <c r="A2215" s="27" t="s">
        <v>915</v>
      </c>
      <c r="B2215" s="3"/>
    </row>
    <row r="2216" spans="1:2" x14ac:dyDescent="0.25">
      <c r="A2216" s="27" t="s">
        <v>849</v>
      </c>
      <c r="B2216" s="3"/>
    </row>
    <row r="2217" spans="1:2" x14ac:dyDescent="0.25">
      <c r="A2217" s="27" t="s">
        <v>1712</v>
      </c>
      <c r="B2217" s="3"/>
    </row>
    <row r="2218" spans="1:2" x14ac:dyDescent="0.25">
      <c r="A2218" s="27" t="s">
        <v>1392</v>
      </c>
      <c r="B2218" s="3"/>
    </row>
    <row r="2219" spans="1:2" x14ac:dyDescent="0.25">
      <c r="A2219" s="27" t="s">
        <v>1562</v>
      </c>
      <c r="B2219" s="3"/>
    </row>
    <row r="2220" spans="1:2" x14ac:dyDescent="0.25">
      <c r="A2220" s="27" t="s">
        <v>2240</v>
      </c>
      <c r="B2220" s="3"/>
    </row>
    <row r="2221" spans="1:2" x14ac:dyDescent="0.25">
      <c r="A2221" s="27" t="s">
        <v>2222</v>
      </c>
      <c r="B2221" s="27" t="s">
        <v>2223</v>
      </c>
    </row>
    <row r="2222" spans="1:2" x14ac:dyDescent="0.25">
      <c r="A2222" s="27" t="s">
        <v>1742</v>
      </c>
      <c r="B2222" s="27" t="s">
        <v>1743</v>
      </c>
    </row>
    <row r="2223" spans="1:2" x14ac:dyDescent="0.25">
      <c r="A2223" s="27" t="s">
        <v>4976</v>
      </c>
      <c r="B2223" s="27" t="s">
        <v>4977</v>
      </c>
    </row>
    <row r="2224" spans="1:2" x14ac:dyDescent="0.25">
      <c r="A2224" s="27" t="s">
        <v>396</v>
      </c>
      <c r="B2224" s="27" t="s">
        <v>1983</v>
      </c>
    </row>
    <row r="2225" spans="1:2" x14ac:dyDescent="0.25">
      <c r="A2225" s="27" t="s">
        <v>402</v>
      </c>
      <c r="B2225" s="27" t="s">
        <v>2163</v>
      </c>
    </row>
    <row r="2226" spans="1:2" x14ac:dyDescent="0.25">
      <c r="A2226" s="27" t="s">
        <v>1645</v>
      </c>
      <c r="B2226" s="3"/>
    </row>
    <row r="2227" spans="1:2" x14ac:dyDescent="0.25">
      <c r="A2227" s="27" t="s">
        <v>2230</v>
      </c>
      <c r="B2227" s="27" t="s">
        <v>2231</v>
      </c>
    </row>
    <row r="2228" spans="1:2" x14ac:dyDescent="0.25">
      <c r="A2228" s="27" t="s">
        <v>4978</v>
      </c>
      <c r="B2228" s="27" t="s">
        <v>4979</v>
      </c>
    </row>
    <row r="2229" spans="1:2" x14ac:dyDescent="0.25">
      <c r="A2229" s="27" t="s">
        <v>4980</v>
      </c>
      <c r="B2229" s="3"/>
    </row>
    <row r="2230" spans="1:2" x14ac:dyDescent="0.25">
      <c r="A2230" s="27" t="s">
        <v>4981</v>
      </c>
      <c r="B2230" s="27" t="s">
        <v>4982</v>
      </c>
    </row>
    <row r="2231" spans="1:2" x14ac:dyDescent="0.25">
      <c r="A2231" s="27" t="s">
        <v>2432</v>
      </c>
      <c r="B2231" s="27" t="s">
        <v>2433</v>
      </c>
    </row>
    <row r="2232" spans="1:2" x14ac:dyDescent="0.25">
      <c r="A2232" s="27" t="s">
        <v>2204</v>
      </c>
      <c r="B2232" s="3"/>
    </row>
    <row r="2233" spans="1:2" x14ac:dyDescent="0.25">
      <c r="A2233" s="27" t="s">
        <v>4983</v>
      </c>
      <c r="B2233" s="3"/>
    </row>
    <row r="2234" spans="1:2" x14ac:dyDescent="0.25">
      <c r="A2234" s="27" t="s">
        <v>4984</v>
      </c>
      <c r="B2234" s="3"/>
    </row>
    <row r="2235" spans="1:2" x14ac:dyDescent="0.25">
      <c r="A2235" s="27" t="s">
        <v>2157</v>
      </c>
      <c r="B2235" s="27" t="s">
        <v>2158</v>
      </c>
    </row>
    <row r="2236" spans="1:2" x14ac:dyDescent="0.25">
      <c r="A2236" s="27" t="s">
        <v>4985</v>
      </c>
      <c r="B2236" s="3"/>
    </row>
    <row r="2237" spans="1:2" x14ac:dyDescent="0.25">
      <c r="A2237" s="27" t="s">
        <v>2400</v>
      </c>
      <c r="B2237" s="3"/>
    </row>
    <row r="2238" spans="1:2" x14ac:dyDescent="0.25">
      <c r="A2238" s="27" t="s">
        <v>4986</v>
      </c>
      <c r="B2238" s="27" t="s">
        <v>4987</v>
      </c>
    </row>
    <row r="2239" spans="1:2" x14ac:dyDescent="0.25">
      <c r="A2239" s="27" t="s">
        <v>4988</v>
      </c>
      <c r="B2239" s="3"/>
    </row>
    <row r="2240" spans="1:2" x14ac:dyDescent="0.25">
      <c r="A2240" s="27" t="s">
        <v>4728</v>
      </c>
      <c r="B2240" s="27" t="s">
        <v>4729</v>
      </c>
    </row>
    <row r="2241" spans="1:2" x14ac:dyDescent="0.25">
      <c r="A2241" s="27" t="s">
        <v>1548</v>
      </c>
      <c r="B2241" s="27" t="s">
        <v>1549</v>
      </c>
    </row>
    <row r="2242" spans="1:2" x14ac:dyDescent="0.25">
      <c r="A2242" s="27" t="s">
        <v>4989</v>
      </c>
      <c r="B2242" s="27" t="s">
        <v>4990</v>
      </c>
    </row>
    <row r="2243" spans="1:2" x14ac:dyDescent="0.25">
      <c r="A2243" s="27" t="s">
        <v>4991</v>
      </c>
      <c r="B2243" s="27" t="s">
        <v>4990</v>
      </c>
    </row>
    <row r="2244" spans="1:2" x14ac:dyDescent="0.25">
      <c r="A2244" s="27" t="s">
        <v>4992</v>
      </c>
      <c r="B2244" s="27" t="s">
        <v>4993</v>
      </c>
    </row>
    <row r="2245" spans="1:2" x14ac:dyDescent="0.25">
      <c r="A2245" s="27" t="s">
        <v>4994</v>
      </c>
      <c r="B2245" s="27" t="s">
        <v>4995</v>
      </c>
    </row>
    <row r="2246" spans="1:2" x14ac:dyDescent="0.25">
      <c r="A2246" s="27" t="s">
        <v>4996</v>
      </c>
      <c r="B2246" s="27" t="s">
        <v>4995</v>
      </c>
    </row>
    <row r="2247" spans="1:2" x14ac:dyDescent="0.25">
      <c r="A2247" s="27" t="s">
        <v>4997</v>
      </c>
      <c r="B2247" s="27" t="s">
        <v>4998</v>
      </c>
    </row>
    <row r="2248" spans="1:2" x14ac:dyDescent="0.25">
      <c r="A2248" s="27" t="s">
        <v>1434</v>
      </c>
      <c r="B2248" s="27" t="s">
        <v>4969</v>
      </c>
    </row>
    <row r="2249" spans="1:2" x14ac:dyDescent="0.25">
      <c r="A2249" s="27" t="s">
        <v>4999</v>
      </c>
      <c r="B2249" s="27" t="s">
        <v>5000</v>
      </c>
    </row>
    <row r="2250" spans="1:2" x14ac:dyDescent="0.25">
      <c r="A2250" s="27" t="s">
        <v>5001</v>
      </c>
      <c r="B2250" s="27" t="s">
        <v>5002</v>
      </c>
    </row>
    <row r="2251" spans="1:2" x14ac:dyDescent="0.25">
      <c r="A2251" s="27" t="s">
        <v>553</v>
      </c>
      <c r="B2251" s="27" t="s">
        <v>5003</v>
      </c>
    </row>
    <row r="2252" spans="1:2" x14ac:dyDescent="0.25">
      <c r="A2252" s="27" t="s">
        <v>5004</v>
      </c>
      <c r="B2252" s="27" t="s">
        <v>5005</v>
      </c>
    </row>
    <row r="2253" spans="1:2" x14ac:dyDescent="0.25">
      <c r="A2253" s="27" t="s">
        <v>5006</v>
      </c>
      <c r="B2253" s="3"/>
    </row>
    <row r="2254" spans="1:2" x14ac:dyDescent="0.25">
      <c r="A2254" s="27" t="s">
        <v>5007</v>
      </c>
      <c r="B2254" s="27" t="s">
        <v>4676</v>
      </c>
    </row>
    <row r="2255" spans="1:2" x14ac:dyDescent="0.25">
      <c r="A2255" s="27" t="s">
        <v>2566</v>
      </c>
      <c r="B2255" s="3"/>
    </row>
    <row r="2256" spans="1:2" x14ac:dyDescent="0.25">
      <c r="A2256" s="27" t="s">
        <v>1538</v>
      </c>
      <c r="B2256" s="3"/>
    </row>
    <row r="2257" spans="1:2" x14ac:dyDescent="0.25">
      <c r="A2257" s="27" t="s">
        <v>1625</v>
      </c>
      <c r="B2257" s="27" t="s">
        <v>1626</v>
      </c>
    </row>
    <row r="2258" spans="1:2" x14ac:dyDescent="0.25">
      <c r="A2258" s="27" t="s">
        <v>402</v>
      </c>
      <c r="B2258" s="27" t="s">
        <v>2163</v>
      </c>
    </row>
    <row r="2259" spans="1:2" x14ac:dyDescent="0.25">
      <c r="A2259" s="27" t="s">
        <v>2230</v>
      </c>
      <c r="B2259" s="27" t="s">
        <v>2231</v>
      </c>
    </row>
    <row r="2260" spans="1:2" x14ac:dyDescent="0.25">
      <c r="A2260" s="27" t="s">
        <v>396</v>
      </c>
      <c r="B2260" s="27" t="s">
        <v>1983</v>
      </c>
    </row>
    <row r="2261" spans="1:2" x14ac:dyDescent="0.25">
      <c r="A2261" s="27" t="s">
        <v>4960</v>
      </c>
      <c r="B2261" s="27" t="s">
        <v>4961</v>
      </c>
    </row>
    <row r="2262" spans="1:2" x14ac:dyDescent="0.25">
      <c r="A2262" s="27" t="s">
        <v>4996</v>
      </c>
      <c r="B2262" s="27" t="s">
        <v>4995</v>
      </c>
    </row>
    <row r="2263" spans="1:2" x14ac:dyDescent="0.25">
      <c r="A2263" s="27" t="s">
        <v>985</v>
      </c>
      <c r="B2263" s="27" t="s">
        <v>5008</v>
      </c>
    </row>
    <row r="2264" spans="1:2" x14ac:dyDescent="0.25">
      <c r="A2264" s="27" t="s">
        <v>4705</v>
      </c>
      <c r="B2264" s="27" t="s">
        <v>4706</v>
      </c>
    </row>
    <row r="2265" spans="1:2" x14ac:dyDescent="0.25">
      <c r="A2265" s="27" t="s">
        <v>4991</v>
      </c>
      <c r="B2265" s="27" t="s">
        <v>4990</v>
      </c>
    </row>
    <row r="2266" spans="1:2" x14ac:dyDescent="0.25">
      <c r="A2266" s="27" t="s">
        <v>4989</v>
      </c>
      <c r="B2266" s="27" t="s">
        <v>4990</v>
      </c>
    </row>
    <row r="2267" spans="1:2" x14ac:dyDescent="0.25">
      <c r="A2267" s="27" t="s">
        <v>4946</v>
      </c>
      <c r="B2267" s="27" t="s">
        <v>5009</v>
      </c>
    </row>
    <row r="2268" spans="1:2" x14ac:dyDescent="0.25">
      <c r="A2268" s="27" t="s">
        <v>4728</v>
      </c>
      <c r="B2268" s="27" t="s">
        <v>4729</v>
      </c>
    </row>
    <row r="2269" spans="1:2" x14ac:dyDescent="0.25">
      <c r="A2269" s="27" t="s">
        <v>4940</v>
      </c>
      <c r="B2269" s="27" t="s">
        <v>4941</v>
      </c>
    </row>
    <row r="2270" spans="1:2" x14ac:dyDescent="0.25">
      <c r="A2270" s="27" t="s">
        <v>78</v>
      </c>
      <c r="B2270" s="27" t="s">
        <v>5010</v>
      </c>
    </row>
    <row r="2271" spans="1:2" x14ac:dyDescent="0.25">
      <c r="A2271" s="27" t="s">
        <v>5011</v>
      </c>
      <c r="B2271" s="3"/>
    </row>
    <row r="2272" spans="1:2" x14ac:dyDescent="0.25">
      <c r="A2272" s="27" t="s">
        <v>1578</v>
      </c>
      <c r="B2272" s="27" t="s">
        <v>1579</v>
      </c>
    </row>
    <row r="2273" spans="1:2" x14ac:dyDescent="0.25">
      <c r="A2273" s="27" t="s">
        <v>81</v>
      </c>
      <c r="B2273" s="27" t="s">
        <v>4955</v>
      </c>
    </row>
    <row r="2274" spans="1:2" x14ac:dyDescent="0.25">
      <c r="A2274" s="27" t="s">
        <v>2111</v>
      </c>
      <c r="B2274" s="27" t="s">
        <v>2112</v>
      </c>
    </row>
    <row r="2275" spans="1:2" x14ac:dyDescent="0.25">
      <c r="A2275" s="27" t="s">
        <v>1460</v>
      </c>
      <c r="B2275" s="3"/>
    </row>
    <row r="2276" spans="1:2" x14ac:dyDescent="0.25">
      <c r="A2276" s="27" t="s">
        <v>4999</v>
      </c>
      <c r="B2276" s="27" t="s">
        <v>5000</v>
      </c>
    </row>
    <row r="2277" spans="1:2" x14ac:dyDescent="0.25">
      <c r="A2277" s="27" t="s">
        <v>4978</v>
      </c>
      <c r="B2277" s="27" t="s">
        <v>4979</v>
      </c>
    </row>
    <row r="2278" spans="1:2" x14ac:dyDescent="0.25">
      <c r="A2278" s="27" t="s">
        <v>1771</v>
      </c>
      <c r="B2278" s="27" t="s">
        <v>5012</v>
      </c>
    </row>
    <row r="2279" spans="1:2" x14ac:dyDescent="0.25">
      <c r="A2279" s="27" t="s">
        <v>5004</v>
      </c>
      <c r="B2279" s="27" t="s">
        <v>5005</v>
      </c>
    </row>
    <row r="2280" spans="1:2" x14ac:dyDescent="0.25">
      <c r="A2280" s="27" t="s">
        <v>553</v>
      </c>
      <c r="B2280" s="27" t="s">
        <v>5003</v>
      </c>
    </row>
    <row r="2281" spans="1:2" x14ac:dyDescent="0.25">
      <c r="A2281" s="27" t="s">
        <v>1548</v>
      </c>
      <c r="B2281" s="27" t="s">
        <v>5013</v>
      </c>
    </row>
    <row r="2282" spans="1:2" x14ac:dyDescent="0.25">
      <c r="A2282" s="27" t="s">
        <v>1625</v>
      </c>
      <c r="B2282" s="27" t="s">
        <v>5014</v>
      </c>
    </row>
    <row r="2283" spans="1:2" x14ac:dyDescent="0.25">
      <c r="A2283" s="27" t="s">
        <v>5015</v>
      </c>
      <c r="B2283" s="27" t="s">
        <v>1539</v>
      </c>
    </row>
    <row r="2284" spans="1:2" x14ac:dyDescent="0.25">
      <c r="A2284" s="27" t="s">
        <v>4722</v>
      </c>
      <c r="B2284" s="27" t="s">
        <v>4723</v>
      </c>
    </row>
    <row r="2285" spans="1:2" x14ac:dyDescent="0.25">
      <c r="A2285" s="27" t="s">
        <v>4950</v>
      </c>
      <c r="B2285" s="3"/>
    </row>
    <row r="2286" spans="1:2" x14ac:dyDescent="0.25">
      <c r="A2286" s="27" t="s">
        <v>5016</v>
      </c>
      <c r="B2286" s="3"/>
    </row>
    <row r="2287" spans="1:2" x14ac:dyDescent="0.25">
      <c r="A2287" s="27" t="s">
        <v>5017</v>
      </c>
      <c r="B2287" s="27" t="s">
        <v>5018</v>
      </c>
    </row>
    <row r="2288" spans="1:2" x14ac:dyDescent="0.25">
      <c r="A2288" s="27" t="s">
        <v>4938</v>
      </c>
      <c r="B2288" s="3"/>
    </row>
    <row r="2289" spans="1:2" x14ac:dyDescent="0.25">
      <c r="A2289" s="27" t="s">
        <v>5019</v>
      </c>
      <c r="B2289" s="3"/>
    </row>
    <row r="2290" spans="1:2" x14ac:dyDescent="0.25">
      <c r="A2290" s="27" t="s">
        <v>5020</v>
      </c>
      <c r="B2290" s="3"/>
    </row>
    <row r="2291" spans="1:2" x14ac:dyDescent="0.25">
      <c r="A2291" s="27" t="s">
        <v>2204</v>
      </c>
      <c r="B2291" s="3"/>
    </row>
    <row r="2292" spans="1:2" x14ac:dyDescent="0.25">
      <c r="A2292" s="27" t="s">
        <v>5021</v>
      </c>
      <c r="B2292" s="3"/>
    </row>
    <row r="2293" spans="1:2" x14ac:dyDescent="0.25">
      <c r="A2293" s="27" t="s">
        <v>255</v>
      </c>
      <c r="B2293" s="3"/>
    </row>
    <row r="2294" spans="1:2" x14ac:dyDescent="0.25">
      <c r="A2294" s="27" t="s">
        <v>275</v>
      </c>
      <c r="B2294" s="3"/>
    </row>
    <row r="2295" spans="1:2" x14ac:dyDescent="0.25">
      <c r="A2295" s="27" t="s">
        <v>569</v>
      </c>
      <c r="B2295" s="27" t="s">
        <v>2105</v>
      </c>
    </row>
    <row r="2296" spans="1:2" x14ac:dyDescent="0.25">
      <c r="A2296" s="27" t="s">
        <v>2002</v>
      </c>
      <c r="B2296" s="3"/>
    </row>
    <row r="2297" spans="1:2" x14ac:dyDescent="0.25">
      <c r="A2297" s="27" t="s">
        <v>402</v>
      </c>
      <c r="B2297" s="3"/>
    </row>
    <row r="2298" spans="1:2" x14ac:dyDescent="0.25">
      <c r="A2298" s="27" t="s">
        <v>2230</v>
      </c>
      <c r="B2298" s="3"/>
    </row>
    <row r="2299" spans="1:2" x14ac:dyDescent="0.25">
      <c r="A2299" s="27" t="s">
        <v>5022</v>
      </c>
      <c r="B2299" s="3"/>
    </row>
    <row r="2300" spans="1:2" x14ac:dyDescent="0.25">
      <c r="A2300" s="27" t="s">
        <v>895</v>
      </c>
      <c r="B2300" s="3"/>
    </row>
    <row r="2301" spans="1:2" x14ac:dyDescent="0.25">
      <c r="A2301" s="27" t="s">
        <v>4989</v>
      </c>
      <c r="B2301" s="3"/>
    </row>
    <row r="2302" spans="1:2" x14ac:dyDescent="0.25">
      <c r="A2302" s="3"/>
      <c r="B2302" s="3"/>
    </row>
    <row r="2303" spans="1:2" x14ac:dyDescent="0.25">
      <c r="A2303" s="27" t="s">
        <v>1085</v>
      </c>
      <c r="B2303" s="3"/>
    </row>
    <row r="2304" spans="1:2" x14ac:dyDescent="0.25">
      <c r="A2304" s="27" t="s">
        <v>4991</v>
      </c>
      <c r="B2304" s="3"/>
    </row>
    <row r="2305" spans="1:2" x14ac:dyDescent="0.25">
      <c r="A2305" s="27" t="s">
        <v>4728</v>
      </c>
      <c r="B2305" s="3"/>
    </row>
    <row r="2306" spans="1:2" x14ac:dyDescent="0.25">
      <c r="A2306" s="27" t="s">
        <v>5023</v>
      </c>
      <c r="B2306" s="27" t="s">
        <v>5024</v>
      </c>
    </row>
    <row r="2307" spans="1:2" x14ac:dyDescent="0.25">
      <c r="A2307" s="27" t="s">
        <v>5025</v>
      </c>
      <c r="B2307" s="27" t="s">
        <v>5026</v>
      </c>
    </row>
    <row r="2308" spans="1:2" x14ac:dyDescent="0.25">
      <c r="A2308" s="27" t="s">
        <v>78</v>
      </c>
      <c r="B2308" s="27" t="s">
        <v>5010</v>
      </c>
    </row>
    <row r="2309" spans="1:2" x14ac:dyDescent="0.25">
      <c r="A2309" s="27" t="s">
        <v>2404</v>
      </c>
      <c r="B2309" s="27" t="s">
        <v>2405</v>
      </c>
    </row>
    <row r="2310" spans="1:2" x14ac:dyDescent="0.25">
      <c r="A2310" s="27" t="s">
        <v>1846</v>
      </c>
      <c r="B2310" s="27" t="s">
        <v>1847</v>
      </c>
    </row>
    <row r="2311" spans="1:2" x14ac:dyDescent="0.25">
      <c r="A2311" s="27" t="s">
        <v>616</v>
      </c>
      <c r="B2311" s="27" t="s">
        <v>1670</v>
      </c>
    </row>
    <row r="2312" spans="1:2" x14ac:dyDescent="0.25">
      <c r="A2312" s="27" t="s">
        <v>1668</v>
      </c>
      <c r="B2312" s="27" t="s">
        <v>1669</v>
      </c>
    </row>
    <row r="2313" spans="1:2" x14ac:dyDescent="0.25">
      <c r="A2313" s="27" t="s">
        <v>1916</v>
      </c>
      <c r="B2313" s="27" t="s">
        <v>1917</v>
      </c>
    </row>
    <row r="2314" spans="1:2" x14ac:dyDescent="0.25">
      <c r="A2314" s="27" t="s">
        <v>5027</v>
      </c>
      <c r="B2314" s="27" t="s">
        <v>5028</v>
      </c>
    </row>
    <row r="2315" spans="1:2" x14ac:dyDescent="0.25">
      <c r="A2315" s="27" t="s">
        <v>5029</v>
      </c>
      <c r="B2315" s="27" t="s">
        <v>5028</v>
      </c>
    </row>
    <row r="2316" spans="1:2" x14ac:dyDescent="0.25">
      <c r="A2316" s="27" t="s">
        <v>1850</v>
      </c>
      <c r="B2316" s="27" t="s">
        <v>1851</v>
      </c>
    </row>
    <row r="2317" spans="1:2" x14ac:dyDescent="0.25">
      <c r="A2317" s="27" t="s">
        <v>1383</v>
      </c>
      <c r="B2317" s="27" t="s">
        <v>1384</v>
      </c>
    </row>
    <row r="2318" spans="1:2" x14ac:dyDescent="0.25">
      <c r="A2318" s="27" t="s">
        <v>1304</v>
      </c>
      <c r="B2318" s="27" t="s">
        <v>1305</v>
      </c>
    </row>
    <row r="2319" spans="1:2" x14ac:dyDescent="0.25">
      <c r="A2319" s="27" t="s">
        <v>901</v>
      </c>
      <c r="B2319" s="27" t="s">
        <v>902</v>
      </c>
    </row>
    <row r="2320" spans="1:2" x14ac:dyDescent="0.25">
      <c r="A2320" s="27" t="s">
        <v>4999</v>
      </c>
      <c r="B2320" s="3"/>
    </row>
    <row r="2321" spans="1:2" x14ac:dyDescent="0.25">
      <c r="A2321" s="27" t="s">
        <v>569</v>
      </c>
      <c r="B2321" s="3"/>
    </row>
    <row r="2322" spans="1:2" x14ac:dyDescent="0.25">
      <c r="A2322" s="27" t="s">
        <v>5004</v>
      </c>
      <c r="B2322" s="3"/>
    </row>
    <row r="2323" spans="1:2" x14ac:dyDescent="0.25">
      <c r="A2323" s="27" t="s">
        <v>255</v>
      </c>
      <c r="B2323" s="3"/>
    </row>
    <row r="2324" spans="1:2" x14ac:dyDescent="0.25">
      <c r="A2324" s="27" t="s">
        <v>2204</v>
      </c>
      <c r="B2324" s="27" t="s">
        <v>2205</v>
      </c>
    </row>
    <row r="2325" spans="1:2" x14ac:dyDescent="0.25">
      <c r="A2325" s="27" t="s">
        <v>5020</v>
      </c>
      <c r="B2325" s="27" t="s">
        <v>5030</v>
      </c>
    </row>
    <row r="2326" spans="1:2" x14ac:dyDescent="0.25">
      <c r="A2326" s="27" t="s">
        <v>1333</v>
      </c>
      <c r="B2326" s="27" t="s">
        <v>1334</v>
      </c>
    </row>
    <row r="2327" spans="1:2" x14ac:dyDescent="0.25">
      <c r="A2327" s="27" t="s">
        <v>5011</v>
      </c>
      <c r="B2327" s="3"/>
    </row>
    <row r="2328" spans="1:2" x14ac:dyDescent="0.25">
      <c r="A2328" s="27" t="s">
        <v>5031</v>
      </c>
      <c r="B2328" s="27" t="s">
        <v>5032</v>
      </c>
    </row>
    <row r="2329" spans="1:2" x14ac:dyDescent="0.25">
      <c r="A2329" s="27" t="s">
        <v>4938</v>
      </c>
      <c r="B2329" s="3"/>
    </row>
    <row r="2330" spans="1:2" x14ac:dyDescent="0.25">
      <c r="A2330" s="27" t="s">
        <v>5033</v>
      </c>
      <c r="B2330" s="3"/>
    </row>
    <row r="2331" spans="1:2" x14ac:dyDescent="0.25">
      <c r="A2331" s="27" t="s">
        <v>1170</v>
      </c>
      <c r="B2331" s="27" t="s">
        <v>1171</v>
      </c>
    </row>
    <row r="2332" spans="1:2" x14ac:dyDescent="0.25">
      <c r="A2332" s="27" t="s">
        <v>2063</v>
      </c>
      <c r="B2332" s="27" t="s">
        <v>2064</v>
      </c>
    </row>
    <row r="2333" spans="1:2" x14ac:dyDescent="0.25">
      <c r="A2333" s="27" t="s">
        <v>1975</v>
      </c>
      <c r="B2333" s="3"/>
    </row>
    <row r="2334" spans="1:2" x14ac:dyDescent="0.25">
      <c r="A2334" s="27" t="s">
        <v>2226</v>
      </c>
      <c r="B2334" s="3"/>
    </row>
    <row r="2335" spans="1:2" x14ac:dyDescent="0.25">
      <c r="A2335" s="27" t="s">
        <v>975</v>
      </c>
      <c r="B2335" s="3"/>
    </row>
    <row r="2336" spans="1:2" x14ac:dyDescent="0.25">
      <c r="A2336" s="27" t="s">
        <v>5034</v>
      </c>
      <c r="B2336" s="3"/>
    </row>
    <row r="2337" spans="1:2" x14ac:dyDescent="0.25">
      <c r="A2337" s="27" t="s">
        <v>5035</v>
      </c>
      <c r="B2337" s="3"/>
    </row>
    <row r="2338" spans="1:2" x14ac:dyDescent="0.25">
      <c r="A2338" s="27" t="s">
        <v>1432</v>
      </c>
      <c r="B2338" s="3"/>
    </row>
    <row r="2339" spans="1:2" x14ac:dyDescent="0.25">
      <c r="A2339" s="27" t="s">
        <v>1260</v>
      </c>
      <c r="B2339" s="27" t="s">
        <v>1261</v>
      </c>
    </row>
    <row r="2340" spans="1:2" x14ac:dyDescent="0.25">
      <c r="A2340" s="27" t="s">
        <v>1410</v>
      </c>
      <c r="B2340" s="3"/>
    </row>
    <row r="2341" spans="1:2" x14ac:dyDescent="0.25">
      <c r="A2341" s="27" t="s">
        <v>5036</v>
      </c>
      <c r="B2341" s="3"/>
    </row>
    <row r="2342" spans="1:2" x14ac:dyDescent="0.25">
      <c r="A2342" s="27" t="s">
        <v>37</v>
      </c>
      <c r="B2342" s="3"/>
    </row>
    <row r="2343" spans="1:2" x14ac:dyDescent="0.25">
      <c r="A2343" s="27" t="s">
        <v>2400</v>
      </c>
      <c r="B2343" s="3"/>
    </row>
    <row r="2344" spans="1:2" x14ac:dyDescent="0.25">
      <c r="A2344" s="27" t="s">
        <v>5037</v>
      </c>
      <c r="B2344" s="3"/>
    </row>
    <row r="2345" spans="1:2" x14ac:dyDescent="0.25">
      <c r="A2345" s="27" t="s">
        <v>1668</v>
      </c>
      <c r="B2345" s="3"/>
    </row>
    <row r="2346" spans="1:2" x14ac:dyDescent="0.25">
      <c r="A2346" s="27" t="s">
        <v>5038</v>
      </c>
      <c r="B2346" s="3"/>
    </row>
    <row r="2347" spans="1:2" x14ac:dyDescent="0.25">
      <c r="A2347" s="27" t="s">
        <v>2226</v>
      </c>
      <c r="B2347" s="3"/>
    </row>
    <row r="2348" spans="1:2" x14ac:dyDescent="0.25">
      <c r="A2348" s="27" t="s">
        <v>1170</v>
      </c>
      <c r="B2348" s="27" t="s">
        <v>1171</v>
      </c>
    </row>
    <row r="2349" spans="1:2" x14ac:dyDescent="0.25">
      <c r="A2349" s="27" t="s">
        <v>212</v>
      </c>
      <c r="B2349" s="3"/>
    </row>
    <row r="2350" spans="1:2" x14ac:dyDescent="0.25">
      <c r="A2350" s="27" t="s">
        <v>2540</v>
      </c>
      <c r="B2350" s="27" t="s">
        <v>2541</v>
      </c>
    </row>
    <row r="2351" spans="1:2" x14ac:dyDescent="0.25">
      <c r="A2351" s="27" t="s">
        <v>113</v>
      </c>
      <c r="B2351" s="27" t="s">
        <v>2537</v>
      </c>
    </row>
    <row r="2352" spans="1:2" x14ac:dyDescent="0.25">
      <c r="A2352" s="27" t="s">
        <v>901</v>
      </c>
      <c r="B2352" s="27" t="s">
        <v>902</v>
      </c>
    </row>
    <row r="2353" spans="1:2" x14ac:dyDescent="0.25">
      <c r="A2353" s="27" t="s">
        <v>1850</v>
      </c>
      <c r="B2353" s="27" t="s">
        <v>1851</v>
      </c>
    </row>
    <row r="2354" spans="1:2" x14ac:dyDescent="0.25">
      <c r="A2354" s="27" t="s">
        <v>5029</v>
      </c>
      <c r="B2354" s="27" t="s">
        <v>5039</v>
      </c>
    </row>
    <row r="2355" spans="1:2" x14ac:dyDescent="0.25">
      <c r="A2355" s="27" t="s">
        <v>5031</v>
      </c>
      <c r="B2355" s="27" t="s">
        <v>5039</v>
      </c>
    </row>
    <row r="2356" spans="1:2" x14ac:dyDescent="0.25">
      <c r="A2356" s="27" t="s">
        <v>1304</v>
      </c>
      <c r="B2356" s="27" t="s">
        <v>1305</v>
      </c>
    </row>
    <row r="2357" spans="1:2" x14ac:dyDescent="0.25">
      <c r="A2357" s="27" t="s">
        <v>5027</v>
      </c>
      <c r="B2357" s="27" t="s">
        <v>5039</v>
      </c>
    </row>
    <row r="2358" spans="1:2" x14ac:dyDescent="0.25">
      <c r="A2358" s="27" t="s">
        <v>5040</v>
      </c>
      <c r="B2358" s="27" t="s">
        <v>5041</v>
      </c>
    </row>
    <row r="2359" spans="1:2" x14ac:dyDescent="0.25">
      <c r="A2359" s="27" t="s">
        <v>5042</v>
      </c>
      <c r="B2359" s="27" t="s">
        <v>5039</v>
      </c>
    </row>
    <row r="2360" spans="1:2" x14ac:dyDescent="0.25">
      <c r="A2360" s="27" t="s">
        <v>4446</v>
      </c>
      <c r="B2360" s="27" t="s">
        <v>4447</v>
      </c>
    </row>
    <row r="2361" spans="1:2" x14ac:dyDescent="0.25">
      <c r="A2361" s="27" t="s">
        <v>78</v>
      </c>
      <c r="B2361" s="27" t="s">
        <v>5039</v>
      </c>
    </row>
    <row r="2362" spans="1:2" x14ac:dyDescent="0.25">
      <c r="A2362" s="27" t="s">
        <v>1846</v>
      </c>
      <c r="B2362" s="27" t="s">
        <v>1847</v>
      </c>
    </row>
    <row r="2363" spans="1:2" x14ac:dyDescent="0.25">
      <c r="A2363" s="27" t="s">
        <v>5023</v>
      </c>
      <c r="B2363" s="27" t="s">
        <v>5039</v>
      </c>
    </row>
    <row r="2364" spans="1:2" x14ac:dyDescent="0.25">
      <c r="A2364" s="27" t="s">
        <v>2204</v>
      </c>
      <c r="B2364" s="27" t="s">
        <v>2205</v>
      </c>
    </row>
    <row r="2365" spans="1:2" x14ac:dyDescent="0.25">
      <c r="A2365" s="27" t="s">
        <v>616</v>
      </c>
      <c r="B2365" s="27" t="s">
        <v>1670</v>
      </c>
    </row>
    <row r="2366" spans="1:2" x14ac:dyDescent="0.25">
      <c r="A2366" s="27" t="s">
        <v>5043</v>
      </c>
      <c r="B2366" s="27" t="s">
        <v>5039</v>
      </c>
    </row>
    <row r="2367" spans="1:2" x14ac:dyDescent="0.25">
      <c r="A2367" s="27" t="s">
        <v>5044</v>
      </c>
      <c r="B2367" s="27" t="s">
        <v>5039</v>
      </c>
    </row>
    <row r="2368" spans="1:2" x14ac:dyDescent="0.25">
      <c r="A2368" s="27" t="s">
        <v>5045</v>
      </c>
      <c r="B2368" s="27" t="s">
        <v>5039</v>
      </c>
    </row>
    <row r="2369" spans="1:2" x14ac:dyDescent="0.25">
      <c r="A2369" s="27" t="s">
        <v>5046</v>
      </c>
      <c r="B2369" s="27" t="s">
        <v>5039</v>
      </c>
    </row>
    <row r="2370" spans="1:2" x14ac:dyDescent="0.25">
      <c r="A2370" s="27" t="s">
        <v>5047</v>
      </c>
      <c r="B2370" s="27" t="s">
        <v>5039</v>
      </c>
    </row>
    <row r="2371" spans="1:2" x14ac:dyDescent="0.25">
      <c r="A2371" s="27" t="s">
        <v>5048</v>
      </c>
      <c r="B2371" s="27" t="s">
        <v>5039</v>
      </c>
    </row>
    <row r="2372" spans="1:2" x14ac:dyDescent="0.25">
      <c r="A2372" s="27" t="s">
        <v>5049</v>
      </c>
      <c r="B2372" s="27" t="s">
        <v>5039</v>
      </c>
    </row>
    <row r="2373" spans="1:2" x14ac:dyDescent="0.25">
      <c r="A2373" s="27" t="s">
        <v>5050</v>
      </c>
      <c r="B2373" s="27" t="s">
        <v>5039</v>
      </c>
    </row>
    <row r="2374" spans="1:2" x14ac:dyDescent="0.25">
      <c r="A2374" s="27" t="s">
        <v>4438</v>
      </c>
      <c r="B2374" s="27" t="s">
        <v>4439</v>
      </c>
    </row>
    <row r="2375" spans="1:2" x14ac:dyDescent="0.25">
      <c r="A2375" s="27" t="s">
        <v>84</v>
      </c>
      <c r="B2375" s="27" t="s">
        <v>4734</v>
      </c>
    </row>
    <row r="2376" spans="1:2" x14ac:dyDescent="0.25">
      <c r="A2376" s="27" t="s">
        <v>4991</v>
      </c>
      <c r="B2376" s="27" t="s">
        <v>5039</v>
      </c>
    </row>
    <row r="2377" spans="1:2" x14ac:dyDescent="0.25">
      <c r="A2377" s="27" t="s">
        <v>1104</v>
      </c>
      <c r="B2377" s="27" t="s">
        <v>1105</v>
      </c>
    </row>
    <row r="2378" spans="1:2" x14ac:dyDescent="0.25">
      <c r="A2378" s="27" t="s">
        <v>4950</v>
      </c>
      <c r="B2378" s="27" t="s">
        <v>5039</v>
      </c>
    </row>
    <row r="2379" spans="1:2" x14ac:dyDescent="0.25">
      <c r="A2379" s="27" t="s">
        <v>5051</v>
      </c>
      <c r="B2379" s="27" t="s">
        <v>5039</v>
      </c>
    </row>
    <row r="2380" spans="1:2" x14ac:dyDescent="0.25">
      <c r="A2380" s="27" t="s">
        <v>1916</v>
      </c>
      <c r="B2380" s="27" t="s">
        <v>1917</v>
      </c>
    </row>
    <row r="2381" spans="1:2" x14ac:dyDescent="0.25">
      <c r="A2381" s="27" t="s">
        <v>5052</v>
      </c>
      <c r="B2381" s="27" t="s">
        <v>5039</v>
      </c>
    </row>
    <row r="2382" spans="1:2" x14ac:dyDescent="0.25">
      <c r="A2382" s="27" t="s">
        <v>84</v>
      </c>
      <c r="B2382" s="27" t="s">
        <v>4734</v>
      </c>
    </row>
    <row r="2383" spans="1:2" x14ac:dyDescent="0.25">
      <c r="A2383" s="27" t="s">
        <v>901</v>
      </c>
      <c r="B2383" s="27" t="s">
        <v>902</v>
      </c>
    </row>
    <row r="2384" spans="1:2" x14ac:dyDescent="0.25">
      <c r="A2384" s="27" t="s">
        <v>1170</v>
      </c>
      <c r="B2384" s="27" t="s">
        <v>1171</v>
      </c>
    </row>
    <row r="2385" spans="1:2" x14ac:dyDescent="0.25">
      <c r="A2385" s="27" t="s">
        <v>5020</v>
      </c>
      <c r="B2385" s="27" t="s">
        <v>5039</v>
      </c>
    </row>
    <row r="2386" spans="1:2" x14ac:dyDescent="0.25">
      <c r="A2386" s="27" t="s">
        <v>1846</v>
      </c>
      <c r="B2386" s="27" t="s">
        <v>1847</v>
      </c>
    </row>
    <row r="2387" spans="1:2" x14ac:dyDescent="0.25">
      <c r="A2387" s="27" t="s">
        <v>5053</v>
      </c>
      <c r="B2387" s="27" t="s">
        <v>5039</v>
      </c>
    </row>
    <row r="2388" spans="1:2" x14ac:dyDescent="0.25">
      <c r="A2388" s="27" t="s">
        <v>616</v>
      </c>
      <c r="B2388" s="27" t="s">
        <v>1670</v>
      </c>
    </row>
    <row r="2389" spans="1:2" x14ac:dyDescent="0.25">
      <c r="A2389" s="27" t="s">
        <v>2063</v>
      </c>
      <c r="B2389" s="27" t="s">
        <v>2064</v>
      </c>
    </row>
    <row r="2390" spans="1:2" x14ac:dyDescent="0.25">
      <c r="A2390" s="27" t="s">
        <v>975</v>
      </c>
      <c r="B2390" s="27" t="s">
        <v>976</v>
      </c>
    </row>
    <row r="2391" spans="1:2" x14ac:dyDescent="0.25">
      <c r="A2391" s="27" t="s">
        <v>5054</v>
      </c>
      <c r="B2391" s="27" t="s">
        <v>5039</v>
      </c>
    </row>
    <row r="2392" spans="1:2" x14ac:dyDescent="0.25">
      <c r="A2392" s="27" t="s">
        <v>2540</v>
      </c>
      <c r="B2392" s="27" t="s">
        <v>2541</v>
      </c>
    </row>
    <row r="2393" spans="1:2" x14ac:dyDescent="0.25">
      <c r="A2393" s="27" t="s">
        <v>212</v>
      </c>
      <c r="B2393" s="27" t="s">
        <v>2536</v>
      </c>
    </row>
    <row r="2394" spans="1:2" x14ac:dyDescent="0.25">
      <c r="A2394" s="27" t="s">
        <v>1975</v>
      </c>
      <c r="B2394" s="27" t="s">
        <v>1976</v>
      </c>
    </row>
    <row r="2395" spans="1:2" x14ac:dyDescent="0.25">
      <c r="A2395" s="27" t="s">
        <v>5055</v>
      </c>
      <c r="B2395" s="27" t="s">
        <v>5039</v>
      </c>
    </row>
    <row r="2396" spans="1:2" x14ac:dyDescent="0.25">
      <c r="A2396" s="27" t="s">
        <v>3206</v>
      </c>
      <c r="B2396" s="27" t="s">
        <v>3207</v>
      </c>
    </row>
    <row r="2397" spans="1:2" x14ac:dyDescent="0.25">
      <c r="A2397" s="27" t="s">
        <v>5056</v>
      </c>
      <c r="B2397" s="27" t="s">
        <v>5039</v>
      </c>
    </row>
    <row r="2398" spans="1:2" x14ac:dyDescent="0.25">
      <c r="A2398" s="27" t="s">
        <v>5007</v>
      </c>
      <c r="B2398" s="27" t="s">
        <v>4676</v>
      </c>
    </row>
    <row r="2399" spans="1:2" x14ac:dyDescent="0.25">
      <c r="A2399" s="27" t="s">
        <v>1228</v>
      </c>
      <c r="B2399" s="27" t="s">
        <v>1229</v>
      </c>
    </row>
    <row r="2400" spans="1:2" x14ac:dyDescent="0.25">
      <c r="A2400" s="27" t="s">
        <v>275</v>
      </c>
      <c r="B2400" s="27" t="s">
        <v>1766</v>
      </c>
    </row>
    <row r="2401" spans="1:2" x14ac:dyDescent="0.25">
      <c r="A2401" s="27" t="s">
        <v>113</v>
      </c>
      <c r="B2401" s="27" t="s">
        <v>2537</v>
      </c>
    </row>
    <row r="2402" spans="1:2" x14ac:dyDescent="0.25">
      <c r="A2402" s="27" t="s">
        <v>2671</v>
      </c>
      <c r="B2402" s="27" t="s">
        <v>2672</v>
      </c>
    </row>
    <row r="2403" spans="1:2" x14ac:dyDescent="0.25">
      <c r="A2403" s="27" t="s">
        <v>2663</v>
      </c>
      <c r="B2403" s="27" t="s">
        <v>2664</v>
      </c>
    </row>
    <row r="2404" spans="1:2" x14ac:dyDescent="0.25">
      <c r="A2404" s="27" t="s">
        <v>2669</v>
      </c>
      <c r="B2404" s="27" t="s">
        <v>2670</v>
      </c>
    </row>
    <row r="2405" spans="1:2" x14ac:dyDescent="0.25">
      <c r="A2405" s="27" t="s">
        <v>2667</v>
      </c>
      <c r="B2405" s="27" t="s">
        <v>2668</v>
      </c>
    </row>
    <row r="2406" spans="1:2" x14ac:dyDescent="0.25">
      <c r="A2406" s="27" t="s">
        <v>2665</v>
      </c>
      <c r="B2406" s="27" t="s">
        <v>2666</v>
      </c>
    </row>
    <row r="2407" spans="1:2" x14ac:dyDescent="0.25">
      <c r="A2407" s="27" t="s">
        <v>2818</v>
      </c>
      <c r="B2407" s="27" t="s">
        <v>2819</v>
      </c>
    </row>
    <row r="2408" spans="1:2" x14ac:dyDescent="0.25">
      <c r="A2408" s="27" t="s">
        <v>2822</v>
      </c>
      <c r="B2408" s="27" t="s">
        <v>2823</v>
      </c>
    </row>
    <row r="2409" spans="1:2" x14ac:dyDescent="0.25">
      <c r="A2409" s="27" t="s">
        <v>1402</v>
      </c>
      <c r="B2409" s="27" t="s">
        <v>1403</v>
      </c>
    </row>
    <row r="2410" spans="1:2" x14ac:dyDescent="0.25">
      <c r="A2410" s="27" t="s">
        <v>2761</v>
      </c>
      <c r="B2410" s="27" t="s">
        <v>2762</v>
      </c>
    </row>
    <row r="2411" spans="1:2" x14ac:dyDescent="0.25">
      <c r="A2411" s="27" t="s">
        <v>2759</v>
      </c>
      <c r="B2411" s="27" t="s">
        <v>2760</v>
      </c>
    </row>
    <row r="2412" spans="1:2" x14ac:dyDescent="0.25">
      <c r="A2412" s="27" t="s">
        <v>5057</v>
      </c>
      <c r="B2412" s="27" t="s">
        <v>5039</v>
      </c>
    </row>
    <row r="2413" spans="1:2" x14ac:dyDescent="0.25">
      <c r="A2413" s="27" t="s">
        <v>5058</v>
      </c>
      <c r="B2413" s="27" t="s">
        <v>5039</v>
      </c>
    </row>
    <row r="2414" spans="1:2" x14ac:dyDescent="0.25">
      <c r="A2414" s="27" t="s">
        <v>5059</v>
      </c>
      <c r="B2414" s="27" t="s">
        <v>5039</v>
      </c>
    </row>
    <row r="2415" spans="1:2" x14ac:dyDescent="0.25">
      <c r="A2415" s="27" t="s">
        <v>5060</v>
      </c>
      <c r="B2415" s="27" t="s">
        <v>5039</v>
      </c>
    </row>
    <row r="2416" spans="1:2" x14ac:dyDescent="0.25">
      <c r="A2416" s="27" t="s">
        <v>4646</v>
      </c>
      <c r="B2416" s="27" t="s">
        <v>4647</v>
      </c>
    </row>
    <row r="2417" spans="1:2" x14ac:dyDescent="0.25">
      <c r="A2417" s="27" t="s">
        <v>2168</v>
      </c>
      <c r="B2417" s="27" t="s">
        <v>2169</v>
      </c>
    </row>
    <row r="2418" spans="1:2" x14ac:dyDescent="0.25">
      <c r="A2418" s="27" t="s">
        <v>937</v>
      </c>
      <c r="B2418" s="27" t="s">
        <v>938</v>
      </c>
    </row>
    <row r="2419" spans="1:2" x14ac:dyDescent="0.25">
      <c r="A2419" s="27" t="s">
        <v>2208</v>
      </c>
      <c r="B2419" s="27" t="s">
        <v>2209</v>
      </c>
    </row>
    <row r="2420" spans="1:2" x14ac:dyDescent="0.25">
      <c r="A2420" s="27" t="s">
        <v>559</v>
      </c>
      <c r="B2420" s="27" t="s">
        <v>3078</v>
      </c>
    </row>
    <row r="2421" spans="1:2" x14ac:dyDescent="0.25">
      <c r="A2421" s="27" t="s">
        <v>5061</v>
      </c>
      <c r="B2421" s="27" t="s">
        <v>5039</v>
      </c>
    </row>
    <row r="2422" spans="1:2" x14ac:dyDescent="0.25">
      <c r="A2422" s="27" t="s">
        <v>2157</v>
      </c>
      <c r="B2422" s="27" t="s">
        <v>2158</v>
      </c>
    </row>
    <row r="2423" spans="1:2" x14ac:dyDescent="0.25">
      <c r="A2423" s="27" t="s">
        <v>5062</v>
      </c>
      <c r="B2423" s="27" t="s">
        <v>5039</v>
      </c>
    </row>
    <row r="2424" spans="1:2" x14ac:dyDescent="0.25">
      <c r="A2424" s="27" t="s">
        <v>3165</v>
      </c>
      <c r="B2424" s="27" t="s">
        <v>3166</v>
      </c>
    </row>
    <row r="2425" spans="1:2" x14ac:dyDescent="0.25">
      <c r="A2425" s="27" t="s">
        <v>3139</v>
      </c>
      <c r="B2425" s="27" t="s">
        <v>3140</v>
      </c>
    </row>
    <row r="2426" spans="1:2" x14ac:dyDescent="0.25">
      <c r="A2426" s="27" t="s">
        <v>167</v>
      </c>
      <c r="B2426" s="27" t="s">
        <v>3123</v>
      </c>
    </row>
    <row r="2427" spans="1:2" x14ac:dyDescent="0.25">
      <c r="A2427" s="27" t="s">
        <v>3124</v>
      </c>
      <c r="B2427" s="27" t="s">
        <v>3125</v>
      </c>
    </row>
    <row r="2428" spans="1:2" x14ac:dyDescent="0.25">
      <c r="A2428" s="27" t="s">
        <v>3161</v>
      </c>
      <c r="B2428" s="27" t="s">
        <v>3162</v>
      </c>
    </row>
    <row r="2429" spans="1:2" x14ac:dyDescent="0.25">
      <c r="A2429" s="27" t="s">
        <v>3141</v>
      </c>
      <c r="B2429" s="27" t="s">
        <v>3142</v>
      </c>
    </row>
    <row r="2430" spans="1:2" x14ac:dyDescent="0.25">
      <c r="A2430" s="27" t="s">
        <v>2615</v>
      </c>
      <c r="B2430" s="27" t="s">
        <v>2616</v>
      </c>
    </row>
    <row r="2431" spans="1:2" x14ac:dyDescent="0.25">
      <c r="A2431" s="27" t="s">
        <v>2887</v>
      </c>
      <c r="B2431" s="27" t="s">
        <v>2888</v>
      </c>
    </row>
    <row r="2432" spans="1:2" x14ac:dyDescent="0.25">
      <c r="A2432" s="27" t="s">
        <v>2573</v>
      </c>
      <c r="B2432" s="27" t="s">
        <v>2574</v>
      </c>
    </row>
    <row r="2433" spans="1:2" x14ac:dyDescent="0.25">
      <c r="A2433" s="27" t="s">
        <v>1750</v>
      </c>
      <c r="B2433" s="27" t="s">
        <v>1751</v>
      </c>
    </row>
    <row r="2434" spans="1:2" x14ac:dyDescent="0.25">
      <c r="A2434" s="27" t="s">
        <v>2222</v>
      </c>
      <c r="B2434" s="27" t="s">
        <v>2223</v>
      </c>
    </row>
    <row r="2435" spans="1:2" x14ac:dyDescent="0.25">
      <c r="A2435" s="27" t="s">
        <v>1040</v>
      </c>
      <c r="B2435" s="27" t="s">
        <v>1041</v>
      </c>
    </row>
    <row r="2436" spans="1:2" x14ac:dyDescent="0.25">
      <c r="A2436" s="27" t="s">
        <v>2663</v>
      </c>
      <c r="B2436" s="27" t="s">
        <v>2664</v>
      </c>
    </row>
    <row r="2437" spans="1:2" x14ac:dyDescent="0.25">
      <c r="A2437" s="27" t="s">
        <v>2665</v>
      </c>
      <c r="B2437" s="27" t="s">
        <v>2666</v>
      </c>
    </row>
    <row r="2438" spans="1:2" x14ac:dyDescent="0.25">
      <c r="A2438" s="27" t="s">
        <v>2673</v>
      </c>
      <c r="B2438" s="27" t="s">
        <v>2674</v>
      </c>
    </row>
    <row r="2439" spans="1:2" x14ac:dyDescent="0.25">
      <c r="A2439" s="27" t="s">
        <v>2671</v>
      </c>
      <c r="B2439" s="27" t="s">
        <v>2672</v>
      </c>
    </row>
    <row r="2440" spans="1:2" x14ac:dyDescent="0.25">
      <c r="A2440" s="27" t="s">
        <v>2891</v>
      </c>
      <c r="B2440" s="27" t="s">
        <v>2892</v>
      </c>
    </row>
    <row r="2441" spans="1:2" x14ac:dyDescent="0.25">
      <c r="A2441" s="27" t="s">
        <v>2667</v>
      </c>
      <c r="B2441" s="27" t="s">
        <v>2668</v>
      </c>
    </row>
    <row r="2442" spans="1:2" x14ac:dyDescent="0.25">
      <c r="A2442" s="27" t="s">
        <v>1789</v>
      </c>
      <c r="B2442" s="27" t="s">
        <v>1790</v>
      </c>
    </row>
    <row r="2443" spans="1:2" x14ac:dyDescent="0.25">
      <c r="A2443" s="27" t="s">
        <v>2593</v>
      </c>
      <c r="B2443" s="27" t="s">
        <v>2594</v>
      </c>
    </row>
    <row r="2444" spans="1:2" x14ac:dyDescent="0.25">
      <c r="A2444" s="27" t="s">
        <v>2603</v>
      </c>
      <c r="B2444" s="27" t="s">
        <v>2604</v>
      </c>
    </row>
    <row r="2445" spans="1:2" x14ac:dyDescent="0.25">
      <c r="A2445" s="27" t="s">
        <v>2599</v>
      </c>
      <c r="B2445" s="27" t="s">
        <v>2600</v>
      </c>
    </row>
    <row r="2446" spans="1:2" x14ac:dyDescent="0.25">
      <c r="A2446" s="27" t="s">
        <v>2605</v>
      </c>
      <c r="B2446" s="27" t="s">
        <v>2606</v>
      </c>
    </row>
    <row r="2447" spans="1:2" x14ac:dyDescent="0.25">
      <c r="A2447" s="27" t="s">
        <v>2607</v>
      </c>
      <c r="B2447" s="27" t="s">
        <v>2608</v>
      </c>
    </row>
    <row r="2448" spans="1:2" x14ac:dyDescent="0.25">
      <c r="A2448" s="27" t="s">
        <v>2601</v>
      </c>
      <c r="B2448" s="27" t="s">
        <v>2602</v>
      </c>
    </row>
    <row r="2449" spans="1:2" x14ac:dyDescent="0.25">
      <c r="A2449" s="27" t="s">
        <v>2595</v>
      </c>
      <c r="B2449" s="27" t="s">
        <v>2596</v>
      </c>
    </row>
    <row r="2450" spans="1:2" x14ac:dyDescent="0.25">
      <c r="A2450" s="27" t="s">
        <v>2597</v>
      </c>
      <c r="B2450" s="27" t="s">
        <v>2598</v>
      </c>
    </row>
    <row r="2451" spans="1:2" x14ac:dyDescent="0.25">
      <c r="A2451" s="3" t="s">
        <v>661</v>
      </c>
      <c r="B2451" s="3" t="s">
        <v>5063</v>
      </c>
    </row>
    <row r="2452" spans="1:2" x14ac:dyDescent="0.25">
      <c r="A2452" s="3" t="s">
        <v>5064</v>
      </c>
      <c r="B2452" s="3" t="s">
        <v>5065</v>
      </c>
    </row>
    <row r="2453" spans="1:2" x14ac:dyDescent="0.25">
      <c r="A2453" s="3" t="s">
        <v>5066</v>
      </c>
      <c r="B2453" s="3" t="s">
        <v>5067</v>
      </c>
    </row>
    <row r="2454" spans="1:2" x14ac:dyDescent="0.25">
      <c r="A2454" s="3" t="s">
        <v>5068</v>
      </c>
      <c r="B2454" s="3" t="s">
        <v>5069</v>
      </c>
    </row>
    <row r="2455" spans="1:2" x14ac:dyDescent="0.25">
      <c r="A2455" s="3" t="s">
        <v>654</v>
      </c>
      <c r="B2455" s="3" t="s">
        <v>5070</v>
      </c>
    </row>
    <row r="2456" spans="1:2" x14ac:dyDescent="0.25">
      <c r="A2456" s="3" t="s">
        <v>5071</v>
      </c>
      <c r="B2456" s="3" t="s">
        <v>5072</v>
      </c>
    </row>
    <row r="2457" spans="1:2" x14ac:dyDescent="0.25">
      <c r="A2457" s="3" t="s">
        <v>5073</v>
      </c>
      <c r="B2457" s="3" t="s">
        <v>5074</v>
      </c>
    </row>
    <row r="2458" spans="1:2" x14ac:dyDescent="0.25">
      <c r="A2458" s="3" t="s">
        <v>5075</v>
      </c>
      <c r="B2458" s="3" t="s">
        <v>5076</v>
      </c>
    </row>
    <row r="2459" spans="1:2" x14ac:dyDescent="0.25">
      <c r="A2459" s="3" t="s">
        <v>674</v>
      </c>
      <c r="B2459" s="3" t="s">
        <v>5077</v>
      </c>
    </row>
    <row r="2460" spans="1:2" x14ac:dyDescent="0.25">
      <c r="A2460" s="3" t="s">
        <v>5078</v>
      </c>
      <c r="B2460" s="3" t="s">
        <v>5079</v>
      </c>
    </row>
    <row r="2461" spans="1:2" x14ac:dyDescent="0.25">
      <c r="A2461" s="3" t="s">
        <v>5080</v>
      </c>
      <c r="B2461" s="3" t="s">
        <v>5081</v>
      </c>
    </row>
    <row r="2462" spans="1:2" x14ac:dyDescent="0.25">
      <c r="A2462" s="3" t="s">
        <v>5082</v>
      </c>
      <c r="B2462" s="3" t="s">
        <v>5083</v>
      </c>
    </row>
    <row r="2463" spans="1:2" x14ac:dyDescent="0.25">
      <c r="A2463" s="3" t="s">
        <v>5084</v>
      </c>
      <c r="B2463" s="3" t="s">
        <v>5085</v>
      </c>
    </row>
    <row r="2464" spans="1:2" x14ac:dyDescent="0.25">
      <c r="A2464" s="3" t="s">
        <v>5086</v>
      </c>
      <c r="B2464" s="3" t="s">
        <v>5087</v>
      </c>
    </row>
    <row r="2465" spans="1:2" x14ac:dyDescent="0.25">
      <c r="A2465" s="3" t="s">
        <v>5088</v>
      </c>
      <c r="B2465" s="3" t="s">
        <v>5089</v>
      </c>
    </row>
    <row r="2466" spans="1:2" x14ac:dyDescent="0.25">
      <c r="A2466" s="3" t="s">
        <v>5090</v>
      </c>
      <c r="B2466" s="3" t="s">
        <v>5091</v>
      </c>
    </row>
    <row r="2467" spans="1:2" x14ac:dyDescent="0.25">
      <c r="A2467" s="3" t="s">
        <v>5092</v>
      </c>
      <c r="B2467" s="3" t="s">
        <v>5093</v>
      </c>
    </row>
    <row r="2468" spans="1:2" x14ac:dyDescent="0.25">
      <c r="A2468" s="3" t="s">
        <v>5094</v>
      </c>
      <c r="B2468" s="3" t="s">
        <v>5095</v>
      </c>
    </row>
    <row r="2469" spans="1:2" x14ac:dyDescent="0.25">
      <c r="A2469" s="3" t="s">
        <v>5096</v>
      </c>
      <c r="B2469" s="3" t="s">
        <v>5097</v>
      </c>
    </row>
    <row r="2470" spans="1:2" x14ac:dyDescent="0.25">
      <c r="A2470" s="3" t="s">
        <v>5098</v>
      </c>
      <c r="B2470" s="3" t="s">
        <v>5099</v>
      </c>
    </row>
    <row r="2471" spans="1:2" x14ac:dyDescent="0.25">
      <c r="A2471" s="3" t="s">
        <v>5100</v>
      </c>
      <c r="B2471" s="3" t="s">
        <v>5101</v>
      </c>
    </row>
    <row r="2472" spans="1:2" x14ac:dyDescent="0.25">
      <c r="A2472" s="3" t="s">
        <v>5102</v>
      </c>
      <c r="B2472" s="3" t="s">
        <v>5103</v>
      </c>
    </row>
    <row r="2473" spans="1:2" x14ac:dyDescent="0.25">
      <c r="A2473" s="3" t="s">
        <v>5104</v>
      </c>
      <c r="B2473" s="3" t="s">
        <v>5105</v>
      </c>
    </row>
    <row r="2474" spans="1:2" x14ac:dyDescent="0.25">
      <c r="A2474" s="3" t="s">
        <v>5106</v>
      </c>
      <c r="B2474" s="3" t="s">
        <v>5107</v>
      </c>
    </row>
    <row r="2475" spans="1:2" x14ac:dyDescent="0.25">
      <c r="A2475" s="3" t="s">
        <v>5108</v>
      </c>
      <c r="B2475" s="3" t="s">
        <v>5109</v>
      </c>
    </row>
    <row r="2476" spans="1:2" x14ac:dyDescent="0.25">
      <c r="A2476" s="3" t="s">
        <v>5110</v>
      </c>
      <c r="B2476" s="3" t="s">
        <v>5111</v>
      </c>
    </row>
    <row r="2477" spans="1:2" x14ac:dyDescent="0.25">
      <c r="A2477" s="3" t="s">
        <v>5112</v>
      </c>
      <c r="B2477" s="3" t="s">
        <v>5113</v>
      </c>
    </row>
    <row r="2478" spans="1:2" x14ac:dyDescent="0.25">
      <c r="A2478" s="3" t="s">
        <v>5114</v>
      </c>
      <c r="B2478" s="3" t="s">
        <v>5115</v>
      </c>
    </row>
    <row r="2479" spans="1:2" x14ac:dyDescent="0.25">
      <c r="A2479" s="3" t="s">
        <v>5116</v>
      </c>
      <c r="B2479" s="3" t="s">
        <v>5117</v>
      </c>
    </row>
    <row r="2480" spans="1:2" x14ac:dyDescent="0.25">
      <c r="A2480" s="3" t="s">
        <v>5118</v>
      </c>
      <c r="B2480" s="3" t="s">
        <v>5119</v>
      </c>
    </row>
    <row r="2481" spans="1:2" x14ac:dyDescent="0.25">
      <c r="A2481" s="3" t="s">
        <v>5120</v>
      </c>
      <c r="B2481" s="3" t="s">
        <v>5121</v>
      </c>
    </row>
    <row r="2482" spans="1:2" x14ac:dyDescent="0.25">
      <c r="A2482" s="3" t="s">
        <v>5122</v>
      </c>
      <c r="B2482" s="3" t="s">
        <v>5123</v>
      </c>
    </row>
    <row r="2483" spans="1:2" x14ac:dyDescent="0.25">
      <c r="A2483" s="3" t="s">
        <v>5124</v>
      </c>
      <c r="B2483" s="3" t="s">
        <v>5125</v>
      </c>
    </row>
    <row r="2484" spans="1:2" x14ac:dyDescent="0.25">
      <c r="A2484" s="3" t="s">
        <v>5126</v>
      </c>
      <c r="B2484" s="3" t="s">
        <v>5127</v>
      </c>
    </row>
    <row r="2485" spans="1:2" x14ac:dyDescent="0.25">
      <c r="A2485" s="3" t="s">
        <v>5128</v>
      </c>
      <c r="B2485" s="3" t="s">
        <v>5129</v>
      </c>
    </row>
    <row r="2486" spans="1:2" x14ac:dyDescent="0.25">
      <c r="A2486" s="3" t="s">
        <v>5130</v>
      </c>
      <c r="B2486" s="3" t="s">
        <v>5131</v>
      </c>
    </row>
    <row r="2487" spans="1:2" x14ac:dyDescent="0.25">
      <c r="A2487" s="3" t="s">
        <v>5132</v>
      </c>
      <c r="B2487" s="3" t="s">
        <v>5133</v>
      </c>
    </row>
    <row r="2488" spans="1:2" x14ac:dyDescent="0.25">
      <c r="A2488" s="3" t="s">
        <v>5134</v>
      </c>
      <c r="B2488" s="3" t="s">
        <v>5135</v>
      </c>
    </row>
    <row r="2489" spans="1:2" x14ac:dyDescent="0.25">
      <c r="A2489" s="3" t="s">
        <v>5136</v>
      </c>
      <c r="B2489" s="3" t="s">
        <v>5137</v>
      </c>
    </row>
    <row r="2490" spans="1:2" x14ac:dyDescent="0.25">
      <c r="A2490" s="3" t="s">
        <v>5138</v>
      </c>
      <c r="B2490" s="3" t="s">
        <v>5139</v>
      </c>
    </row>
    <row r="2491" spans="1:2" x14ac:dyDescent="0.25">
      <c r="A2491" s="3" t="s">
        <v>5140</v>
      </c>
      <c r="B2491" s="3" t="s">
        <v>5141</v>
      </c>
    </row>
    <row r="2492" spans="1:2" x14ac:dyDescent="0.25">
      <c r="A2492" s="3" t="s">
        <v>5142</v>
      </c>
      <c r="B2492" s="3" t="s">
        <v>5143</v>
      </c>
    </row>
    <row r="2493" spans="1:2" x14ac:dyDescent="0.25">
      <c r="A2493" s="3" t="s">
        <v>5144</v>
      </c>
      <c r="B2493" s="3" t="s">
        <v>5145</v>
      </c>
    </row>
    <row r="2494" spans="1:2" x14ac:dyDescent="0.25">
      <c r="A2494" s="3" t="s">
        <v>5146</v>
      </c>
      <c r="B2494" s="3" t="s">
        <v>5147</v>
      </c>
    </row>
    <row r="2495" spans="1:2" x14ac:dyDescent="0.25">
      <c r="A2495" s="3" t="s">
        <v>5148</v>
      </c>
      <c r="B2495" s="3" t="s">
        <v>5149</v>
      </c>
    </row>
    <row r="2496" spans="1:2" x14ac:dyDescent="0.25">
      <c r="A2496" s="3" t="s">
        <v>5150</v>
      </c>
      <c r="B2496" s="3" t="s">
        <v>5151</v>
      </c>
    </row>
    <row r="2497" spans="1:2" x14ac:dyDescent="0.25">
      <c r="A2497" s="3" t="s">
        <v>702</v>
      </c>
      <c r="B2497" s="3" t="s">
        <v>5152</v>
      </c>
    </row>
    <row r="2498" spans="1:2" x14ac:dyDescent="0.25">
      <c r="A2498" s="3" t="s">
        <v>5153</v>
      </c>
      <c r="B2498" s="3" t="s">
        <v>5154</v>
      </c>
    </row>
    <row r="2499" spans="1:2" x14ac:dyDescent="0.25">
      <c r="A2499" s="3" t="s">
        <v>5155</v>
      </c>
      <c r="B2499" s="3" t="s">
        <v>5156</v>
      </c>
    </row>
    <row r="2500" spans="1:2" x14ac:dyDescent="0.25">
      <c r="A2500" s="3" t="s">
        <v>5157</v>
      </c>
      <c r="B2500" s="3" t="s">
        <v>5158</v>
      </c>
    </row>
    <row r="2501" spans="1:2" x14ac:dyDescent="0.25">
      <c r="A2501" s="3" t="s">
        <v>5159</v>
      </c>
      <c r="B2501" s="3" t="s">
        <v>5160</v>
      </c>
    </row>
    <row r="2502" spans="1:2" x14ac:dyDescent="0.25">
      <c r="A2502" s="3" t="s">
        <v>5161</v>
      </c>
      <c r="B2502" s="3" t="s">
        <v>5162</v>
      </c>
    </row>
    <row r="2503" spans="1:2" x14ac:dyDescent="0.25">
      <c r="A2503" s="3" t="s">
        <v>5134</v>
      </c>
      <c r="B2503" s="3" t="s">
        <v>5135</v>
      </c>
    </row>
    <row r="2504" spans="1:2" x14ac:dyDescent="0.25">
      <c r="A2504" s="3" t="s">
        <v>5163</v>
      </c>
      <c r="B2504" s="3" t="s">
        <v>5164</v>
      </c>
    </row>
    <row r="2505" spans="1:2" x14ac:dyDescent="0.25">
      <c r="A2505" s="3" t="s">
        <v>5136</v>
      </c>
      <c r="B2505" s="3" t="s">
        <v>5137</v>
      </c>
    </row>
    <row r="2506" spans="1:2" x14ac:dyDescent="0.25">
      <c r="A2506" s="3" t="s">
        <v>5142</v>
      </c>
      <c r="B2506" s="3" t="s">
        <v>5143</v>
      </c>
    </row>
    <row r="2507" spans="1:2" x14ac:dyDescent="0.25">
      <c r="A2507" s="3" t="s">
        <v>5144</v>
      </c>
      <c r="B2507" s="3" t="s">
        <v>5145</v>
      </c>
    </row>
    <row r="2508" spans="1:2" x14ac:dyDescent="0.25">
      <c r="A2508" s="3" t="s">
        <v>5146</v>
      </c>
      <c r="B2508" s="3" t="s">
        <v>5147</v>
      </c>
    </row>
    <row r="2509" spans="1:2" x14ac:dyDescent="0.25">
      <c r="A2509" s="3" t="s">
        <v>5148</v>
      </c>
      <c r="B2509" s="3" t="s">
        <v>5149</v>
      </c>
    </row>
    <row r="2510" spans="1:2" x14ac:dyDescent="0.25">
      <c r="A2510" s="3" t="s">
        <v>5150</v>
      </c>
      <c r="B2510" s="3" t="s">
        <v>5151</v>
      </c>
    </row>
    <row r="2511" spans="1:2" x14ac:dyDescent="0.25">
      <c r="A2511" s="3" t="s">
        <v>702</v>
      </c>
      <c r="B2511" s="3" t="s">
        <v>5152</v>
      </c>
    </row>
    <row r="2512" spans="1:2" x14ac:dyDescent="0.25">
      <c r="A2512" s="3" t="s">
        <v>5153</v>
      </c>
      <c r="B2512" s="3" t="s">
        <v>5154</v>
      </c>
    </row>
    <row r="2513" spans="1:2" x14ac:dyDescent="0.25">
      <c r="A2513" s="3" t="s">
        <v>5157</v>
      </c>
      <c r="B2513" s="3" t="s">
        <v>5158</v>
      </c>
    </row>
    <row r="2514" spans="1:2" x14ac:dyDescent="0.25">
      <c r="A2514" s="3" t="s">
        <v>5165</v>
      </c>
      <c r="B2514" s="3" t="s">
        <v>5166</v>
      </c>
    </row>
    <row r="2515" spans="1:2" x14ac:dyDescent="0.25">
      <c r="A2515" s="3" t="s">
        <v>5167</v>
      </c>
      <c r="B2515" s="3" t="s">
        <v>5168</v>
      </c>
    </row>
    <row r="2516" spans="1:2" x14ac:dyDescent="0.25">
      <c r="A2516" s="3" t="s">
        <v>5169</v>
      </c>
      <c r="B2516" s="3" t="s">
        <v>5170</v>
      </c>
    </row>
    <row r="2517" spans="1:2" x14ac:dyDescent="0.25">
      <c r="A2517" s="3" t="s">
        <v>5171</v>
      </c>
      <c r="B2517" s="3" t="s">
        <v>5172</v>
      </c>
    </row>
    <row r="2518" spans="1:2" x14ac:dyDescent="0.25">
      <c r="A2518" s="3" t="s">
        <v>727</v>
      </c>
      <c r="B2518" s="3" t="s">
        <v>5173</v>
      </c>
    </row>
    <row r="2519" spans="1:2" x14ac:dyDescent="0.25">
      <c r="A2519" s="3" t="s">
        <v>713</v>
      </c>
      <c r="B2519" s="3" t="s">
        <v>5174</v>
      </c>
    </row>
    <row r="2520" spans="1:2" x14ac:dyDescent="0.25">
      <c r="A2520" s="3" t="s">
        <v>5175</v>
      </c>
      <c r="B2520" s="3" t="s">
        <v>5176</v>
      </c>
    </row>
    <row r="2521" spans="1:2" x14ac:dyDescent="0.25">
      <c r="A2521" s="3" t="s">
        <v>5177</v>
      </c>
      <c r="B2521" s="3" t="s">
        <v>5178</v>
      </c>
    </row>
    <row r="2522" spans="1:2" x14ac:dyDescent="0.25">
      <c r="A2522" s="3" t="s">
        <v>5179</v>
      </c>
      <c r="B2522" s="3" t="s">
        <v>5180</v>
      </c>
    </row>
    <row r="2523" spans="1:2" x14ac:dyDescent="0.25">
      <c r="A2523" s="3" t="s">
        <v>5181</v>
      </c>
      <c r="B2523" s="3" t="s">
        <v>5182</v>
      </c>
    </row>
    <row r="2524" spans="1:2" x14ac:dyDescent="0.25">
      <c r="A2524" s="3" t="s">
        <v>5183</v>
      </c>
      <c r="B2524" s="3" t="s">
        <v>5184</v>
      </c>
    </row>
    <row r="2525" spans="1:2" x14ac:dyDescent="0.25">
      <c r="A2525" s="3" t="s">
        <v>5185</v>
      </c>
      <c r="B2525" s="3" t="s">
        <v>5186</v>
      </c>
    </row>
    <row r="2526" spans="1:2" x14ac:dyDescent="0.25">
      <c r="A2526" s="3" t="s">
        <v>5187</v>
      </c>
      <c r="B2526" s="3" t="s">
        <v>5188</v>
      </c>
    </row>
    <row r="2527" spans="1:2" x14ac:dyDescent="0.25">
      <c r="A2527" s="3" t="s">
        <v>708</v>
      </c>
      <c r="B2527" s="3" t="s">
        <v>5189</v>
      </c>
    </row>
    <row r="2528" spans="1:2" x14ac:dyDescent="0.25">
      <c r="A2528" s="3" t="s">
        <v>5190</v>
      </c>
      <c r="B2528" s="3" t="s">
        <v>5191</v>
      </c>
    </row>
    <row r="2529" spans="1:2" x14ac:dyDescent="0.25">
      <c r="A2529" s="3" t="s">
        <v>5192</v>
      </c>
      <c r="B2529" s="3" t="s">
        <v>5193</v>
      </c>
    </row>
    <row r="2530" spans="1:2" x14ac:dyDescent="0.25">
      <c r="A2530" s="3" t="s">
        <v>5194</v>
      </c>
      <c r="B2530" s="3" t="s">
        <v>5195</v>
      </c>
    </row>
    <row r="2531" spans="1:2" x14ac:dyDescent="0.25">
      <c r="A2531" s="3" t="s">
        <v>5196</v>
      </c>
      <c r="B2531" s="3" t="s">
        <v>5197</v>
      </c>
    </row>
    <row r="2532" spans="1:2" x14ac:dyDescent="0.25">
      <c r="A2532" s="3" t="s">
        <v>5198</v>
      </c>
      <c r="B2532" s="3" t="s">
        <v>5199</v>
      </c>
    </row>
    <row r="2533" spans="1:2" x14ac:dyDescent="0.25">
      <c r="A2533" s="3" t="s">
        <v>5200</v>
      </c>
      <c r="B2533" s="3" t="s">
        <v>5201</v>
      </c>
    </row>
    <row r="2534" spans="1:2" x14ac:dyDescent="0.25">
      <c r="A2534" s="3" t="s">
        <v>5185</v>
      </c>
      <c r="B2534" s="3" t="s">
        <v>5186</v>
      </c>
    </row>
    <row r="2535" spans="1:2" x14ac:dyDescent="0.25">
      <c r="A2535" s="3" t="s">
        <v>5187</v>
      </c>
      <c r="B2535" s="3" t="s">
        <v>5188</v>
      </c>
    </row>
    <row r="2536" spans="1:2" x14ac:dyDescent="0.25">
      <c r="A2536" s="3" t="s">
        <v>5202</v>
      </c>
      <c r="B2536" s="3" t="s">
        <v>5203</v>
      </c>
    </row>
    <row r="2537" spans="1:2" x14ac:dyDescent="0.25">
      <c r="A2537" s="3" t="s">
        <v>708</v>
      </c>
      <c r="B2537" s="3" t="s">
        <v>5189</v>
      </c>
    </row>
    <row r="2538" spans="1:2" x14ac:dyDescent="0.25">
      <c r="A2538" s="3" t="s">
        <v>5204</v>
      </c>
      <c r="B2538" s="3" t="s">
        <v>5205</v>
      </c>
    </row>
    <row r="2539" spans="1:2" x14ac:dyDescent="0.25">
      <c r="A2539" s="3" t="s">
        <v>5190</v>
      </c>
      <c r="B2539" s="3" t="s">
        <v>5191</v>
      </c>
    </row>
    <row r="2540" spans="1:2" x14ac:dyDescent="0.25">
      <c r="A2540" s="3" t="s">
        <v>719</v>
      </c>
      <c r="B2540" s="3" t="s">
        <v>5206</v>
      </c>
    </row>
    <row r="2541" spans="1:2" x14ac:dyDescent="0.25">
      <c r="A2541" s="3" t="s">
        <v>5207</v>
      </c>
      <c r="B2541" s="3" t="s">
        <v>5208</v>
      </c>
    </row>
    <row r="2542" spans="1:2" x14ac:dyDescent="0.25">
      <c r="A2542" s="3"/>
      <c r="B2542" s="3"/>
    </row>
    <row r="2543" spans="1:2" x14ac:dyDescent="0.25">
      <c r="A2543" s="3"/>
      <c r="B2543" s="3"/>
    </row>
    <row r="2544" spans="1:2" x14ac:dyDescent="0.25">
      <c r="A2544" s="3"/>
      <c r="B2544" s="3"/>
    </row>
    <row r="2545" spans="1:2" x14ac:dyDescent="0.25">
      <c r="A2545" s="3"/>
      <c r="B2545" s="3"/>
    </row>
    <row r="2546" spans="1:2" x14ac:dyDescent="0.25">
      <c r="A2546" s="3"/>
      <c r="B2546" s="3"/>
    </row>
    <row r="2547" spans="1:2" x14ac:dyDescent="0.25">
      <c r="A2547" s="3"/>
      <c r="B2547" s="3"/>
    </row>
    <row r="2548" spans="1:2" x14ac:dyDescent="0.25">
      <c r="A2548" s="3"/>
      <c r="B2548" s="3"/>
    </row>
    <row r="2549" spans="1:2" x14ac:dyDescent="0.25">
      <c r="A2549" s="3"/>
      <c r="B2549" s="3"/>
    </row>
    <row r="2550" spans="1:2" x14ac:dyDescent="0.25">
      <c r="A2550" s="3"/>
      <c r="B2550" s="3"/>
    </row>
    <row r="2551" spans="1:2" x14ac:dyDescent="0.25">
      <c r="A2551" s="3"/>
      <c r="B2551" s="3"/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/>
      <c r="B2554" s="3"/>
    </row>
    <row r="2555" spans="1:2" x14ac:dyDescent="0.25">
      <c r="A2555" s="3"/>
      <c r="B2555" s="3"/>
    </row>
    <row r="2556" spans="1:2" x14ac:dyDescent="0.25">
      <c r="A2556" s="3"/>
      <c r="B2556" s="3"/>
    </row>
    <row r="2557" spans="1:2" x14ac:dyDescent="0.25">
      <c r="A2557" s="3"/>
      <c r="B2557" s="3"/>
    </row>
    <row r="2558" spans="1:2" x14ac:dyDescent="0.25">
      <c r="A2558" s="3"/>
      <c r="B2558" s="3"/>
    </row>
    <row r="2559" spans="1:2" x14ac:dyDescent="0.25">
      <c r="A2559" s="3"/>
      <c r="B2559" s="3"/>
    </row>
    <row r="2560" spans="1:2" x14ac:dyDescent="0.25">
      <c r="A2560" s="3"/>
      <c r="B2560" s="3"/>
    </row>
    <row r="2561" spans="1:2" x14ac:dyDescent="0.25">
      <c r="A2561" s="3"/>
      <c r="B2561" s="3"/>
    </row>
    <row r="2562" spans="1:2" x14ac:dyDescent="0.25">
      <c r="A2562" s="3"/>
      <c r="B2562" s="3"/>
    </row>
    <row r="2563" spans="1:2" x14ac:dyDescent="0.25">
      <c r="A2563" s="3"/>
      <c r="B2563" s="3"/>
    </row>
    <row r="2564" spans="1:2" x14ac:dyDescent="0.25">
      <c r="A2564" s="3"/>
      <c r="B2564" s="3"/>
    </row>
    <row r="2565" spans="1:2" x14ac:dyDescent="0.25">
      <c r="A2565" s="3"/>
      <c r="B2565" s="3"/>
    </row>
    <row r="2566" spans="1:2" x14ac:dyDescent="0.25">
      <c r="A2566" s="3"/>
      <c r="B2566" s="3"/>
    </row>
    <row r="2567" spans="1:2" x14ac:dyDescent="0.25">
      <c r="A2567" s="3"/>
      <c r="B2567" s="3"/>
    </row>
    <row r="2568" spans="1:2" x14ac:dyDescent="0.25">
      <c r="A2568" s="3"/>
      <c r="B2568" s="3"/>
    </row>
    <row r="2569" spans="1:2" x14ac:dyDescent="0.25">
      <c r="A2569" s="3"/>
      <c r="B2569" s="3"/>
    </row>
    <row r="2570" spans="1:2" x14ac:dyDescent="0.25">
      <c r="A2570" s="3"/>
      <c r="B2570" s="3"/>
    </row>
    <row r="2571" spans="1:2" x14ac:dyDescent="0.25">
      <c r="A2571" s="3"/>
      <c r="B2571" s="3"/>
    </row>
    <row r="2572" spans="1:2" x14ac:dyDescent="0.25">
      <c r="A2572" s="3"/>
      <c r="B2572" s="3"/>
    </row>
    <row r="2573" spans="1:2" x14ac:dyDescent="0.25">
      <c r="A2573" s="3"/>
      <c r="B2573" s="3"/>
    </row>
    <row r="2574" spans="1:2" x14ac:dyDescent="0.25">
      <c r="A2574" s="3"/>
      <c r="B2574" s="3"/>
    </row>
    <row r="2575" spans="1:2" x14ac:dyDescent="0.25">
      <c r="A2575" s="3"/>
      <c r="B2575" s="3"/>
    </row>
    <row r="2576" spans="1:2" x14ac:dyDescent="0.25">
      <c r="A2576" s="3"/>
      <c r="B2576" s="3"/>
    </row>
    <row r="2577" spans="1:2" x14ac:dyDescent="0.25">
      <c r="A2577" s="3"/>
      <c r="B2577" s="3"/>
    </row>
    <row r="2578" spans="1:2" x14ac:dyDescent="0.25">
      <c r="A2578" s="3"/>
      <c r="B2578" s="3"/>
    </row>
    <row r="2579" spans="1:2" x14ac:dyDescent="0.25">
      <c r="A2579" s="3"/>
      <c r="B2579" s="3"/>
    </row>
    <row r="2580" spans="1:2" x14ac:dyDescent="0.25">
      <c r="A2580" s="3"/>
      <c r="B2580" s="3"/>
    </row>
    <row r="2581" spans="1:2" x14ac:dyDescent="0.25">
      <c r="A2581" s="3"/>
      <c r="B2581" s="3"/>
    </row>
    <row r="2582" spans="1:2" x14ac:dyDescent="0.25">
      <c r="A2582" s="3"/>
      <c r="B2582" s="3"/>
    </row>
    <row r="2583" spans="1:2" x14ac:dyDescent="0.25">
      <c r="A2583" s="3"/>
      <c r="B2583" s="3"/>
    </row>
    <row r="2584" spans="1:2" x14ac:dyDescent="0.25">
      <c r="A2584" s="3"/>
      <c r="B2584" s="3"/>
    </row>
    <row r="2585" spans="1:2" x14ac:dyDescent="0.25">
      <c r="A2585" s="3"/>
      <c r="B2585" s="3"/>
    </row>
    <row r="2586" spans="1:2" x14ac:dyDescent="0.25">
      <c r="A2586" s="3"/>
      <c r="B2586" s="3"/>
    </row>
    <row r="2587" spans="1:2" x14ac:dyDescent="0.25">
      <c r="A2587" s="3"/>
      <c r="B2587" s="3"/>
    </row>
    <row r="2588" spans="1:2" x14ac:dyDescent="0.25">
      <c r="A2588" s="3"/>
      <c r="B2588" s="3"/>
    </row>
    <row r="2589" spans="1:2" x14ac:dyDescent="0.25">
      <c r="A2589" s="3"/>
      <c r="B2589" s="3"/>
    </row>
    <row r="2590" spans="1:2" x14ac:dyDescent="0.25">
      <c r="A2590" s="3"/>
      <c r="B2590" s="3"/>
    </row>
    <row r="2591" spans="1:2" x14ac:dyDescent="0.25">
      <c r="A2591" s="3"/>
      <c r="B2591" s="3"/>
    </row>
    <row r="2592" spans="1:2" x14ac:dyDescent="0.25">
      <c r="A2592" s="3"/>
      <c r="B2592" s="3"/>
    </row>
    <row r="2593" spans="1:2" x14ac:dyDescent="0.25">
      <c r="A2593" s="3"/>
      <c r="B2593" s="3"/>
    </row>
    <row r="2594" spans="1:2" x14ac:dyDescent="0.25">
      <c r="A2594" s="3"/>
      <c r="B2594" s="3"/>
    </row>
    <row r="2595" spans="1:2" x14ac:dyDescent="0.25">
      <c r="A2595" s="3"/>
      <c r="B2595" s="3"/>
    </row>
    <row r="2596" spans="1:2" x14ac:dyDescent="0.25">
      <c r="A2596" s="3"/>
      <c r="B2596" s="3"/>
    </row>
    <row r="2597" spans="1:2" x14ac:dyDescent="0.25">
      <c r="A2597" s="3"/>
      <c r="B2597" s="3"/>
    </row>
    <row r="2598" spans="1:2" x14ac:dyDescent="0.25">
      <c r="A2598" s="3"/>
      <c r="B2598" s="3"/>
    </row>
    <row r="2599" spans="1:2" x14ac:dyDescent="0.25">
      <c r="A2599" s="3"/>
      <c r="B2599" s="3"/>
    </row>
    <row r="2600" spans="1:2" x14ac:dyDescent="0.25">
      <c r="A2600" s="3"/>
      <c r="B2600" s="3"/>
    </row>
    <row r="2601" spans="1:2" x14ac:dyDescent="0.25">
      <c r="A2601" s="3"/>
      <c r="B2601" s="3"/>
    </row>
    <row r="2602" spans="1:2" x14ac:dyDescent="0.25">
      <c r="A2602" s="3"/>
      <c r="B2602" s="3"/>
    </row>
    <row r="2603" spans="1:2" x14ac:dyDescent="0.25">
      <c r="A2603" s="3"/>
      <c r="B2603" s="3"/>
    </row>
    <row r="2604" spans="1:2" x14ac:dyDescent="0.25">
      <c r="A2604" s="3"/>
      <c r="B2604" s="3"/>
    </row>
    <row r="2605" spans="1:2" x14ac:dyDescent="0.25">
      <c r="A2605" s="3"/>
      <c r="B2605" s="3"/>
    </row>
    <row r="2606" spans="1:2" x14ac:dyDescent="0.25">
      <c r="A2606" s="3"/>
      <c r="B2606" s="3"/>
    </row>
    <row r="2607" spans="1:2" x14ac:dyDescent="0.25">
      <c r="A2607" s="3"/>
      <c r="B2607" s="3"/>
    </row>
    <row r="2608" spans="1:2" x14ac:dyDescent="0.25">
      <c r="A2608" s="3"/>
      <c r="B2608" s="3"/>
    </row>
    <row r="2609" spans="1:2" x14ac:dyDescent="0.25">
      <c r="A2609" s="3"/>
      <c r="B2609" s="3"/>
    </row>
    <row r="2610" spans="1:2" x14ac:dyDescent="0.25">
      <c r="A2610" s="3"/>
      <c r="B2610" s="3"/>
    </row>
    <row r="2611" spans="1:2" x14ac:dyDescent="0.25">
      <c r="A2611" s="3"/>
      <c r="B2611" s="3"/>
    </row>
    <row r="2612" spans="1:2" x14ac:dyDescent="0.25">
      <c r="A2612" s="3"/>
      <c r="B2612" s="3"/>
    </row>
    <row r="2613" spans="1:2" x14ac:dyDescent="0.25">
      <c r="A2613" s="3"/>
      <c r="B2613" s="3"/>
    </row>
    <row r="2614" spans="1:2" x14ac:dyDescent="0.25">
      <c r="A2614" s="3"/>
      <c r="B2614" s="3"/>
    </row>
    <row r="2615" spans="1:2" x14ac:dyDescent="0.25">
      <c r="A2615" s="3"/>
      <c r="B2615" s="3"/>
    </row>
    <row r="2616" spans="1:2" x14ac:dyDescent="0.25">
      <c r="A2616" s="3"/>
      <c r="B2616" s="3"/>
    </row>
    <row r="2617" spans="1:2" x14ac:dyDescent="0.25">
      <c r="A2617" s="3"/>
      <c r="B2617" s="3"/>
    </row>
    <row r="2618" spans="1:2" x14ac:dyDescent="0.25">
      <c r="A2618" s="3"/>
      <c r="B2618" s="3"/>
    </row>
    <row r="2619" spans="1:2" x14ac:dyDescent="0.25">
      <c r="A2619" s="3"/>
      <c r="B2619" s="3"/>
    </row>
    <row r="2620" spans="1:2" x14ac:dyDescent="0.25">
      <c r="A2620" s="3"/>
      <c r="B2620" s="3"/>
    </row>
    <row r="2621" spans="1:2" x14ac:dyDescent="0.25">
      <c r="A2621" s="3"/>
      <c r="B2621" s="3"/>
    </row>
    <row r="2622" spans="1:2" x14ac:dyDescent="0.25">
      <c r="A2622" s="3"/>
      <c r="B2622" s="3"/>
    </row>
    <row r="2623" spans="1:2" x14ac:dyDescent="0.25">
      <c r="A2623" s="3"/>
      <c r="B2623" s="3"/>
    </row>
    <row r="2624" spans="1:2" x14ac:dyDescent="0.25">
      <c r="A2624" s="3"/>
      <c r="B2624" s="3"/>
    </row>
    <row r="2625" spans="1:2" x14ac:dyDescent="0.25">
      <c r="A2625" s="3"/>
      <c r="B2625" s="3"/>
    </row>
    <row r="2626" spans="1:2" x14ac:dyDescent="0.25">
      <c r="A2626" s="3"/>
      <c r="B2626" s="3"/>
    </row>
    <row r="2627" spans="1:2" x14ac:dyDescent="0.25">
      <c r="A2627" s="3"/>
      <c r="B2627" s="3"/>
    </row>
    <row r="2628" spans="1:2" x14ac:dyDescent="0.25">
      <c r="A2628" s="3"/>
      <c r="B2628" s="3"/>
    </row>
    <row r="2629" spans="1:2" x14ac:dyDescent="0.25">
      <c r="A2629" s="3"/>
      <c r="B2629" s="3"/>
    </row>
    <row r="2630" spans="1:2" x14ac:dyDescent="0.25">
      <c r="A2630" s="3"/>
      <c r="B2630" s="3"/>
    </row>
    <row r="2631" spans="1:2" x14ac:dyDescent="0.25">
      <c r="A2631" s="3"/>
      <c r="B2631" s="3"/>
    </row>
    <row r="2632" spans="1:2" x14ac:dyDescent="0.25">
      <c r="A2632" s="3"/>
      <c r="B2632" s="3"/>
    </row>
    <row r="2633" spans="1:2" x14ac:dyDescent="0.25">
      <c r="A2633" s="3"/>
      <c r="B2633" s="3"/>
    </row>
    <row r="2634" spans="1:2" x14ac:dyDescent="0.25">
      <c r="A2634" s="3"/>
      <c r="B2634" s="3"/>
    </row>
    <row r="2635" spans="1:2" x14ac:dyDescent="0.25">
      <c r="A2635" s="3"/>
      <c r="B2635" s="3"/>
    </row>
    <row r="2636" spans="1:2" x14ac:dyDescent="0.25">
      <c r="A2636" s="3"/>
      <c r="B2636" s="3"/>
    </row>
    <row r="2637" spans="1:2" x14ac:dyDescent="0.25">
      <c r="A2637" s="3"/>
      <c r="B2637" s="3"/>
    </row>
    <row r="2638" spans="1:2" x14ac:dyDescent="0.25">
      <c r="A2638" s="3"/>
      <c r="B2638" s="3"/>
    </row>
    <row r="2639" spans="1:2" x14ac:dyDescent="0.25">
      <c r="A2639" s="3"/>
      <c r="B2639" s="3"/>
    </row>
    <row r="2640" spans="1:2" x14ac:dyDescent="0.25">
      <c r="A2640" s="3"/>
      <c r="B2640" s="3"/>
    </row>
    <row r="2641" spans="1:2" x14ac:dyDescent="0.25">
      <c r="A2641" s="3"/>
      <c r="B2641" s="3"/>
    </row>
    <row r="2642" spans="1:2" x14ac:dyDescent="0.25">
      <c r="A2642" s="3"/>
      <c r="B2642" s="3"/>
    </row>
    <row r="2643" spans="1:2" x14ac:dyDescent="0.25">
      <c r="A2643" s="3"/>
      <c r="B2643" s="3"/>
    </row>
    <row r="2644" spans="1:2" x14ac:dyDescent="0.25">
      <c r="A2644" s="3"/>
      <c r="B2644" s="3"/>
    </row>
    <row r="2645" spans="1:2" x14ac:dyDescent="0.25">
      <c r="A2645" s="3"/>
      <c r="B2645" s="3"/>
    </row>
    <row r="2646" spans="1:2" x14ac:dyDescent="0.25">
      <c r="A2646" s="3"/>
      <c r="B2646" s="3"/>
    </row>
    <row r="2647" spans="1:2" x14ac:dyDescent="0.25">
      <c r="A2647" s="3"/>
      <c r="B2647" s="3"/>
    </row>
    <row r="2648" spans="1:2" x14ac:dyDescent="0.25">
      <c r="A2648" s="3"/>
      <c r="B2648" s="3"/>
    </row>
    <row r="2649" spans="1:2" x14ac:dyDescent="0.25">
      <c r="A2649" s="3"/>
      <c r="B2649" s="3"/>
    </row>
    <row r="2650" spans="1:2" x14ac:dyDescent="0.25">
      <c r="A2650" s="3"/>
      <c r="B26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Bookings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Telenkov</dc:creator>
  <cp:lastModifiedBy>Alexander Telenkov</cp:lastModifiedBy>
  <dcterms:created xsi:type="dcterms:W3CDTF">2025-12-24T16:31:16Z</dcterms:created>
  <dcterms:modified xsi:type="dcterms:W3CDTF">2025-12-24T16:32:42Z</dcterms:modified>
</cp:coreProperties>
</file>